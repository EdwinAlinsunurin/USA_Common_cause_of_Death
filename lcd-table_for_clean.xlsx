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New_PC\001.Data_Analyst\0.project\Excel\USA_Common_cause_of_Death\"/>
    </mc:Choice>
  </mc:AlternateContent>
  <bookViews>
    <workbookView xWindow="0" yWindow="0" windowWidth="20490" windowHeight="7755"/>
  </bookViews>
  <sheets>
    <sheet name="dashboard" sheetId="3" r:id="rId1"/>
    <sheet name="Analyze" sheetId="4" r:id="rId2"/>
    <sheet name="deaths_Table" sheetId="2" r:id="rId3"/>
    <sheet name="lcd-table_for_clean" sheetId="1" r:id="rId4"/>
  </sheets>
  <definedNames>
    <definedName name="_xlnm._FilterDatabase" localSheetId="1" hidden="1">Analyze!#REF!</definedName>
    <definedName name="_xlnm._FilterDatabase" localSheetId="0" hidden="1">dashboard!$G$8:$I$8</definedName>
    <definedName name="_xlnm._FilterDatabase" localSheetId="2" hidden="1">deaths_Table!$B$3:$G$113</definedName>
    <definedName name="Slicer_Rank">#N/A</definedName>
  </definedNames>
  <calcPr calcId="152511"/>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F10" i="4" l="1"/>
  <c r="G10" i="4"/>
  <c r="H10" i="4"/>
  <c r="F11" i="4"/>
  <c r="G11" i="4"/>
  <c r="H11" i="4"/>
  <c r="F12" i="4"/>
  <c r="G12" i="4"/>
  <c r="H12" i="4"/>
  <c r="F13" i="4"/>
  <c r="G13" i="4"/>
  <c r="H13" i="4"/>
  <c r="F14" i="4"/>
  <c r="G14" i="4"/>
  <c r="H14" i="4"/>
  <c r="F15" i="4"/>
  <c r="G15" i="4"/>
  <c r="H15" i="4"/>
  <c r="F16" i="4"/>
  <c r="G16" i="4"/>
  <c r="H16" i="4"/>
  <c r="F17" i="4"/>
  <c r="G17" i="4"/>
  <c r="H17" i="4"/>
  <c r="F18"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E11" i="4"/>
  <c r="E12" i="4"/>
  <c r="E13" i="4"/>
  <c r="E14" i="4"/>
  <c r="E15" i="4"/>
  <c r="E16" i="4"/>
  <c r="E17" i="4"/>
  <c r="E18" i="4"/>
  <c r="E19" i="4"/>
  <c r="E20" i="4"/>
  <c r="E21" i="4"/>
  <c r="E22" i="4"/>
  <c r="E23" i="4"/>
  <c r="E24" i="4"/>
  <c r="E25" i="4"/>
  <c r="E26" i="4"/>
  <c r="E27" i="4"/>
  <c r="E28" i="4"/>
  <c r="E29" i="4"/>
  <c r="E30" i="4"/>
  <c r="E31" i="4"/>
  <c r="E32" i="4"/>
  <c r="E33" i="4"/>
  <c r="E34" i="4"/>
  <c r="E35" i="4"/>
  <c r="E36" i="4"/>
  <c r="E10" i="4"/>
  <c r="C44" i="4"/>
  <c r="D44" i="4"/>
  <c r="C45" i="4"/>
  <c r="D45" i="4"/>
  <c r="C46" i="4"/>
  <c r="D46" i="4"/>
  <c r="C47" i="4"/>
  <c r="D47" i="4"/>
  <c r="C48" i="4"/>
  <c r="D48" i="4"/>
  <c r="C49" i="4"/>
  <c r="D49" i="4"/>
  <c r="C50" i="4"/>
  <c r="D50" i="4"/>
  <c r="C51" i="4"/>
  <c r="D51" i="4"/>
  <c r="C52" i="4"/>
  <c r="D52" i="4"/>
  <c r="C53" i="4"/>
  <c r="D53" i="4"/>
  <c r="D43" i="4"/>
  <c r="C43" i="4"/>
  <c r="G25" i="3"/>
  <c r="H25" i="3"/>
  <c r="I25" i="3"/>
  <c r="G35" i="3"/>
  <c r="H35" i="3"/>
  <c r="I35" i="3"/>
  <c r="G19" i="3"/>
  <c r="H19" i="3"/>
  <c r="I19" i="3"/>
  <c r="G16" i="3"/>
  <c r="H16" i="3"/>
  <c r="I16" i="3"/>
  <c r="G28" i="3"/>
  <c r="H28" i="3"/>
  <c r="I28" i="3"/>
  <c r="G32" i="3"/>
  <c r="H32" i="3"/>
  <c r="I32" i="3"/>
  <c r="G22" i="3"/>
  <c r="H22" i="3"/>
  <c r="I22" i="3"/>
  <c r="G12" i="3"/>
  <c r="H12" i="3"/>
  <c r="I12" i="3"/>
  <c r="G21" i="3"/>
  <c r="H21" i="3"/>
  <c r="I21" i="3"/>
  <c r="G9" i="3"/>
  <c r="H9" i="3"/>
  <c r="I9" i="3"/>
  <c r="G30" i="3"/>
  <c r="H30" i="3"/>
  <c r="I30" i="3"/>
  <c r="G34" i="3"/>
  <c r="H34" i="3"/>
  <c r="I34" i="3"/>
  <c r="G29" i="3"/>
  <c r="H29" i="3"/>
  <c r="I29" i="3"/>
  <c r="G23" i="3"/>
  <c r="H23" i="3"/>
  <c r="I23" i="3"/>
  <c r="G10" i="3"/>
  <c r="H10" i="3"/>
  <c r="I10" i="3"/>
  <c r="G20" i="3"/>
  <c r="H20" i="3"/>
  <c r="I20" i="3"/>
  <c r="G17" i="3"/>
  <c r="H17" i="3"/>
  <c r="I17" i="3"/>
  <c r="G14" i="3"/>
  <c r="H14" i="3"/>
  <c r="I14" i="3"/>
  <c r="G33" i="3"/>
  <c r="H33" i="3"/>
  <c r="I33" i="3"/>
  <c r="G24" i="3"/>
  <c r="H24" i="3"/>
  <c r="I24" i="3"/>
  <c r="G27" i="3"/>
  <c r="H27" i="3"/>
  <c r="I27" i="3"/>
  <c r="G31" i="3"/>
  <c r="H31" i="3"/>
  <c r="I31" i="3"/>
  <c r="G13" i="3"/>
  <c r="H13" i="3"/>
  <c r="I13" i="3"/>
  <c r="G18" i="3"/>
  <c r="H18" i="3"/>
  <c r="I18" i="3"/>
  <c r="G26" i="3"/>
  <c r="H26" i="3"/>
  <c r="I26" i="3"/>
  <c r="G15" i="3"/>
  <c r="H15" i="3"/>
  <c r="I15" i="3"/>
  <c r="H11" i="3"/>
  <c r="I11" i="3"/>
  <c r="G11" i="3"/>
</calcChain>
</file>

<file path=xl/sharedStrings.xml><?xml version="1.0" encoding="utf-8"?>
<sst xmlns="http://schemas.openxmlformats.org/spreadsheetml/2006/main" count="518" uniqueCount="88">
  <si>
    <t>Age Group</t>
  </si>
  <si>
    <t>Rank</t>
  </si>
  <si>
    <t>Cause Category</t>
  </si>
  <si>
    <t>Deaths</t>
  </si>
  <si>
    <t>Crude Rate</t>
  </si>
  <si>
    <t>Percentage</t>
  </si>
  <si>
    <t>&lt;1</t>
  </si>
  <si>
    <t>Congenital Anomalies</t>
  </si>
  <si>
    <t>Short Gestation</t>
  </si>
  <si>
    <t>Sids</t>
  </si>
  <si>
    <t>Unintentional Injury</t>
  </si>
  <si>
    <t>Maternal Pregnancy Comp.</t>
  </si>
  <si>
    <t>Placenta  Cord Membranes</t>
  </si>
  <si>
    <t>Bacterial Sepsis</t>
  </si>
  <si>
    <t>Respiratory Distress</t>
  </si>
  <si>
    <t>Circulatory System Disease</t>
  </si>
  <si>
    <t>Intrauterine Hypoxia</t>
  </si>
  <si>
    <t>Homicide</t>
  </si>
  <si>
    <t>Malignant Neoplasms</t>
  </si>
  <si>
    <t>Heart Disease</t>
  </si>
  <si>
    <t>Perinatal Period</t>
  </si>
  <si>
    <t>Cerebrovascular</t>
  </si>
  <si>
    <t>Covid-19</t>
  </si>
  <si>
    <t>Influenza &amp; Pneumonia</t>
  </si>
  <si>
    <t>Benign Neoplasms</t>
  </si>
  <si>
    <t>Suicide</t>
  </si>
  <si>
    <t>Chronic Low. Respiratory Disease</t>
  </si>
  <si>
    <t>Diabetes Mellitus</t>
  </si>
  <si>
    <t>15-24</t>
  </si>
  <si>
    <t>Complicated Pregnancy</t>
  </si>
  <si>
    <t>25-34</t>
  </si>
  <si>
    <t>Liver Disease</t>
  </si>
  <si>
    <t>35-44</t>
  </si>
  <si>
    <t>Septicemia</t>
  </si>
  <si>
    <t>45-54</t>
  </si>
  <si>
    <t>55-64</t>
  </si>
  <si>
    <t>65+</t>
  </si>
  <si>
    <t>Alzheimer's Disease</t>
  </si>
  <si>
    <t>Nephritis</t>
  </si>
  <si>
    <t>Parkinson's Disease</t>
  </si>
  <si>
    <t>All Ages</t>
  </si>
  <si>
    <t>Ages: 1-14 in 5-year groups; 15-65+ in 10-year groups</t>
  </si>
  <si>
    <t>Ethnicity: All Ethnicities</t>
  </si>
  <si>
    <t>Geographies: United States</t>
  </si>
  <si>
    <t>Intent: All Deaths with drilldown to ICD codes</t>
  </si>
  <si>
    <t>Number: 10</t>
  </si>
  <si>
    <t>Race: All Races</t>
  </si>
  <si>
    <t>RaceYear: 2001 - 2021 with No Race</t>
  </si>
  <si>
    <t>Sexes: Males, Females</t>
  </si>
  <si>
    <t>Years: 2021</t>
  </si>
  <si>
    <t>** indicates Unstable values, -- indicates Suppressed values, --* indicates Secondary Suppression</t>
  </si>
  <si>
    <t>Produced by: National Center for Injury Prevention and Control, CDC.</t>
  </si>
  <si>
    <t>Less than 1yrs</t>
  </si>
  <si>
    <t>1 to 4 yrs</t>
  </si>
  <si>
    <t>10 to 14 yrs</t>
  </si>
  <si>
    <t>15 to 24 yrs</t>
  </si>
  <si>
    <t>25 to 34 yrs</t>
  </si>
  <si>
    <t>35 to 44 yrs</t>
  </si>
  <si>
    <t>45 to 54 yrs</t>
  </si>
  <si>
    <t>5 to 9 yrs</t>
  </si>
  <si>
    <t>55 to 64 yrs</t>
  </si>
  <si>
    <t>65 above</t>
  </si>
  <si>
    <t>top common cause of deaths</t>
  </si>
  <si>
    <t>Max Deaths</t>
  </si>
  <si>
    <t>Min Deaths</t>
  </si>
  <si>
    <t>most deaths in per age</t>
  </si>
  <si>
    <t>Deaths per 1000</t>
  </si>
  <si>
    <t>Average deaths</t>
  </si>
  <si>
    <t>Max of Deaths</t>
  </si>
  <si>
    <t>Min of Deaths</t>
  </si>
  <si>
    <t>Average of Deaths2</t>
  </si>
  <si>
    <t>Leading cause of death</t>
  </si>
  <si>
    <t>Row Labels</t>
  </si>
  <si>
    <t>Grand Total</t>
  </si>
  <si>
    <t>Sum of Deaths</t>
  </si>
  <si>
    <t>Average of Crude Rate</t>
  </si>
  <si>
    <t>Crude Rate/1000 population</t>
  </si>
  <si>
    <t>Death % Per Year</t>
  </si>
  <si>
    <t>Average of Percentage</t>
  </si>
  <si>
    <t xml:space="preserve"> </t>
  </si>
  <si>
    <t>Total Deaths</t>
  </si>
  <si>
    <t>Cause of Deaths</t>
  </si>
  <si>
    <t>Total Deaths (2001-2021)\Per Age Range</t>
  </si>
  <si>
    <r>
      <rPr>
        <b/>
        <sz val="11"/>
        <color theme="1"/>
        <rFont val="Calibri"/>
        <family val="2"/>
        <scheme val="minor"/>
      </rPr>
      <t>Ages:</t>
    </r>
    <r>
      <rPr>
        <sz val="11"/>
        <color theme="1"/>
        <rFont val="Calibri"/>
        <family val="2"/>
        <scheme val="minor"/>
      </rPr>
      <t xml:space="preserve"> 1-14 in 5-year groups; 15-65+ in 10-year groups</t>
    </r>
  </si>
  <si>
    <r>
      <rPr>
        <b/>
        <sz val="11"/>
        <color theme="1"/>
        <rFont val="Calibri"/>
        <family val="2"/>
        <scheme val="minor"/>
      </rPr>
      <t>Ethnicity:</t>
    </r>
    <r>
      <rPr>
        <sz val="11"/>
        <color theme="1"/>
        <rFont val="Calibri"/>
        <family val="2"/>
        <scheme val="minor"/>
      </rPr>
      <t xml:space="preserve"> All Ethnicities</t>
    </r>
  </si>
  <si>
    <r>
      <rPr>
        <b/>
        <sz val="11"/>
        <color theme="1"/>
        <rFont val="Calibri"/>
        <family val="2"/>
        <scheme val="minor"/>
      </rPr>
      <t>Geographies:</t>
    </r>
    <r>
      <rPr>
        <sz val="11"/>
        <color theme="1"/>
        <rFont val="Calibri"/>
        <family val="2"/>
        <scheme val="minor"/>
      </rPr>
      <t xml:space="preserve"> United States</t>
    </r>
  </si>
  <si>
    <r>
      <rPr>
        <b/>
        <sz val="11"/>
        <color theme="1"/>
        <rFont val="Calibri"/>
        <family val="2"/>
        <scheme val="minor"/>
      </rPr>
      <t xml:space="preserve">Intent: </t>
    </r>
    <r>
      <rPr>
        <sz val="11"/>
        <color theme="1"/>
        <rFont val="Calibri"/>
        <family val="2"/>
        <scheme val="minor"/>
      </rPr>
      <t>All Deaths with drilldown to ICD codes</t>
    </r>
  </si>
  <si>
    <t>Total Deaths (2001-2021)\Per Cause</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</si>
</sst>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rgb="FF002060"/>
        <bgColor indexed="64"/>
      </patternFill>
    </fill>
    <fill>
      <patternFill patternType="solid">
        <fgColor theme="4" tint="0.79998168889431442"/>
        <bgColor theme="4" tint="0.79998168889431442"/>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29">
    <xf numFmtId="0" fontId="0" fillId="0" borderId="0" xfId="0"/>
    <xf numFmtId="3" fontId="0" fillId="0" borderId="0" xfId="0" applyNumberFormat="1"/>
    <xf numFmtId="10" fontId="0" fillId="0" borderId="0" xfId="0" applyNumberFormat="1"/>
    <xf numFmtId="16" fontId="0" fillId="0" borderId="0" xfId="0" applyNumberFormat="1"/>
    <xf numFmtId="17" fontId="0" fillId="0" borderId="0" xfId="0" applyNumberFormat="1"/>
    <xf numFmtId="0" fontId="18" fillId="0" borderId="0" xfId="0" applyFont="1"/>
    <xf numFmtId="0" fontId="18" fillId="0" borderId="0" xfId="0" applyFont="1" applyAlignment="1">
      <alignment horizontal="center" vertical="center"/>
    </xf>
    <xf numFmtId="3" fontId="18" fillId="0" borderId="0" xfId="0" applyNumberFormat="1" applyFont="1" applyAlignment="1">
      <alignment horizontal="center" vertical="center"/>
    </xf>
    <xf numFmtId="10" fontId="18" fillId="0" borderId="0" xfId="0" applyNumberFormat="1" applyFont="1" applyAlignment="1">
      <alignment horizontal="center" vertical="center"/>
    </xf>
    <xf numFmtId="16" fontId="18" fillId="0" borderId="0" xfId="0" applyNumberFormat="1" applyFont="1" applyAlignment="1">
      <alignment horizontal="center" vertical="center"/>
    </xf>
    <xf numFmtId="17" fontId="18" fillId="0" borderId="0" xfId="0" applyNumberFormat="1" applyFont="1" applyAlignment="1">
      <alignment horizontal="center" vertical="center"/>
    </xf>
    <xf numFmtId="0" fontId="18" fillId="33" borderId="0" xfId="0" applyFont="1" applyFill="1" applyAlignment="1">
      <alignment horizontal="center" vertical="center"/>
    </xf>
    <xf numFmtId="0" fontId="0" fillId="0" borderId="0" xfId="0" applyNumberFormat="1"/>
    <xf numFmtId="0" fontId="0" fillId="0" borderId="0" xfId="0" applyAlignment="1">
      <alignment horizontal="center" vertical="center"/>
    </xf>
    <xf numFmtId="0" fontId="0" fillId="0" borderId="0" xfId="0" applyNumberFormat="1" applyAlignment="1">
      <alignment horizontal="center" vertical="center"/>
    </xf>
    <xf numFmtId="0" fontId="0" fillId="0" borderId="0" xfId="0" pivotButton="1" applyAlignment="1">
      <alignment horizontal="center" vertical="center"/>
    </xf>
    <xf numFmtId="0" fontId="0" fillId="0" borderId="0" xfId="0" applyFont="1" applyFill="1"/>
    <xf numFmtId="0" fontId="0" fillId="0" borderId="0" xfId="0" applyFont="1"/>
    <xf numFmtId="10" fontId="0" fillId="0" borderId="0" xfId="42" applyNumberFormat="1" applyFont="1" applyAlignment="1">
      <alignment horizontal="center" vertical="center"/>
    </xf>
    <xf numFmtId="2" fontId="0" fillId="0" borderId="0" xfId="0" applyNumberFormat="1" applyFont="1" applyAlignment="1">
      <alignment horizontal="center" vertical="center"/>
    </xf>
    <xf numFmtId="0" fontId="13" fillId="34" borderId="0" xfId="0" applyFont="1" applyFill="1" applyAlignment="1">
      <alignment horizontal="center" vertical="center"/>
    </xf>
    <xf numFmtId="10"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0" fontId="16" fillId="35" borderId="10" xfId="0" applyFont="1" applyFill="1" applyBorder="1" applyAlignment="1">
      <alignment horizontal="center" vertical="center"/>
    </xf>
    <xf numFmtId="1" fontId="0" fillId="0" borderId="0" xfId="0" applyNumberFormat="1" applyFont="1" applyAlignment="1">
      <alignment horizontal="center" vertical="center"/>
    </xf>
    <xf numFmtId="1" fontId="0" fillId="0" borderId="0" xfId="0" applyNumberFormat="1" applyFont="1" applyAlignment="1">
      <alignment horizontal="right" vertical="center"/>
    </xf>
    <xf numFmtId="0" fontId="13" fillId="34" borderId="0" xfId="0" applyFont="1" applyFill="1" applyAlignment="1">
      <alignment horizontal="center" vertical="center"/>
    </xf>
    <xf numFmtId="0" fontId="0" fillId="36"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106">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3" formatCode="#,##0"/>
    </dxf>
    <dxf>
      <numFmt numFmtId="3" formatCode="#,##0"/>
    </dxf>
    <dxf>
      <numFmt numFmtId="2" formatCode="0.00"/>
    </dxf>
    <dxf>
      <alignment vertical="center" readingOrder="0"/>
    </dxf>
    <dxf>
      <alignment vertical="center" readingOrder="0"/>
    </dxf>
    <dxf>
      <alignment horizontal="center" readingOrder="0"/>
    </dxf>
    <dxf>
      <alignment horizontal="center" readingOrder="0"/>
    </dxf>
    <dxf>
      <alignment vertical="center" readingOrder="0"/>
    </dxf>
    <dxf>
      <alignment vertical="center" readingOrder="0"/>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0383493321149427"/>
          <c:y val="2.5644546956882914E-2"/>
          <c:w val="0.51083616511120133"/>
          <c:h val="0.92228302270297025"/>
        </c:manualLayout>
      </c:layout>
      <c:barChart>
        <c:barDir val="bar"/>
        <c:grouping val="clustered"/>
        <c:varyColors val="0"/>
        <c:ser>
          <c:idx val="0"/>
          <c:order val="0"/>
          <c:tx>
            <c:v>Total Deaths</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Analyze!$E$10:$E$36</c:f>
              <c:strCache>
                <c:ptCount val="27"/>
                <c:pt idx="0">
                  <c:v>Alzheimer's Disease</c:v>
                </c:pt>
                <c:pt idx="1">
                  <c:v>Bacterial Sepsis</c:v>
                </c:pt>
                <c:pt idx="2">
                  <c:v>Benign Neoplasms</c:v>
                </c:pt>
                <c:pt idx="3">
                  <c:v>Cerebrovascular</c:v>
                </c:pt>
                <c:pt idx="4">
                  <c:v>Chronic Low. Respiratory Disease</c:v>
                </c:pt>
                <c:pt idx="5">
                  <c:v>Circulatory System Disease</c:v>
                </c:pt>
                <c:pt idx="6">
                  <c:v>Complicated Pregnancy</c:v>
                </c:pt>
                <c:pt idx="7">
                  <c:v>Congenital Anomalies</c:v>
                </c:pt>
                <c:pt idx="8">
                  <c:v>Covid-19</c:v>
                </c:pt>
                <c:pt idx="9">
                  <c:v>Diabetes Mellitus</c:v>
                </c:pt>
                <c:pt idx="10">
                  <c:v>Heart Disease</c:v>
                </c:pt>
                <c:pt idx="11">
                  <c:v>Homicide</c:v>
                </c:pt>
                <c:pt idx="12">
                  <c:v>Influenza &amp; Pneumonia</c:v>
                </c:pt>
                <c:pt idx="13">
                  <c:v>Intrauterine Hypoxia</c:v>
                </c:pt>
                <c:pt idx="14">
                  <c:v>Liver Disease</c:v>
                </c:pt>
                <c:pt idx="15">
                  <c:v>Malignant Neoplasms</c:v>
                </c:pt>
                <c:pt idx="16">
                  <c:v>Maternal Pregnancy Comp.</c:v>
                </c:pt>
                <c:pt idx="17">
                  <c:v>Nephritis</c:v>
                </c:pt>
                <c:pt idx="18">
                  <c:v>Parkinson's Disease</c:v>
                </c:pt>
                <c:pt idx="19">
                  <c:v>Perinatal Period</c:v>
                </c:pt>
                <c:pt idx="20">
                  <c:v>Placenta  Cord Membranes</c:v>
                </c:pt>
                <c:pt idx="21">
                  <c:v>Respiratory Distress</c:v>
                </c:pt>
                <c:pt idx="22">
                  <c:v>Septicemia</c:v>
                </c:pt>
                <c:pt idx="23">
                  <c:v>Short Gestation</c:v>
                </c:pt>
                <c:pt idx="24">
                  <c:v>Sids</c:v>
                </c:pt>
                <c:pt idx="25">
                  <c:v>Suicide</c:v>
                </c:pt>
                <c:pt idx="26">
                  <c:v>Unintentional Injury</c:v>
                </c:pt>
              </c:strCache>
            </c:strRef>
          </c:cat>
          <c:val>
            <c:numRef>
              <c:f>Analyze!$H$10:$H$36</c:f>
              <c:numCache>
                <c:formatCode>#,##0</c:formatCode>
                <c:ptCount val="27"/>
                <c:pt idx="0">
                  <c:v>237321</c:v>
                </c:pt>
                <c:pt idx="1">
                  <c:v>557</c:v>
                </c:pt>
                <c:pt idx="2">
                  <c:v>37</c:v>
                </c:pt>
                <c:pt idx="3">
                  <c:v>325682</c:v>
                </c:pt>
                <c:pt idx="4">
                  <c:v>283387</c:v>
                </c:pt>
                <c:pt idx="5">
                  <c:v>402</c:v>
                </c:pt>
                <c:pt idx="6">
                  <c:v>1011</c:v>
                </c:pt>
                <c:pt idx="7">
                  <c:v>5144</c:v>
                </c:pt>
                <c:pt idx="8">
                  <c:v>833692</c:v>
                </c:pt>
                <c:pt idx="9">
                  <c:v>206575</c:v>
                </c:pt>
                <c:pt idx="10">
                  <c:v>1390805</c:v>
                </c:pt>
                <c:pt idx="11">
                  <c:v>22632</c:v>
                </c:pt>
                <c:pt idx="12">
                  <c:v>74</c:v>
                </c:pt>
                <c:pt idx="13">
                  <c:v>358</c:v>
                </c:pt>
                <c:pt idx="14">
                  <c:v>92416</c:v>
                </c:pt>
                <c:pt idx="15">
                  <c:v>1210367</c:v>
                </c:pt>
                <c:pt idx="16">
                  <c:v>1113</c:v>
                </c:pt>
                <c:pt idx="17">
                  <c:v>98371</c:v>
                </c:pt>
                <c:pt idx="18">
                  <c:v>37568</c:v>
                </c:pt>
                <c:pt idx="19">
                  <c:v>68</c:v>
                </c:pt>
                <c:pt idx="20">
                  <c:v>672</c:v>
                </c:pt>
                <c:pt idx="21">
                  <c:v>414</c:v>
                </c:pt>
                <c:pt idx="22">
                  <c:v>7613</c:v>
                </c:pt>
                <c:pt idx="23">
                  <c:v>2946</c:v>
                </c:pt>
                <c:pt idx="24">
                  <c:v>1459</c:v>
                </c:pt>
                <c:pt idx="25">
                  <c:v>38518</c:v>
                </c:pt>
                <c:pt idx="26">
                  <c:v>449851</c:v>
                </c:pt>
              </c:numCache>
            </c:numRef>
          </c:val>
        </c:ser>
        <c:dLbls>
          <c:showLegendKey val="0"/>
          <c:showVal val="0"/>
          <c:showCatName val="0"/>
          <c:showSerName val="0"/>
          <c:showPercent val="0"/>
          <c:showBubbleSize val="0"/>
        </c:dLbls>
        <c:gapWidth val="76"/>
        <c:axId val="-1942620368"/>
        <c:axId val="-1942619824"/>
      </c:barChart>
      <c:catAx>
        <c:axId val="-1942620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619824"/>
        <c:crosses val="autoZero"/>
        <c:auto val="1"/>
        <c:lblAlgn val="ctr"/>
        <c:lblOffset val="100"/>
        <c:noMultiLvlLbl val="0"/>
      </c:catAx>
      <c:valAx>
        <c:axId val="-19426198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620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4903490812634402"/>
          <c:y val="4.7930266779796275E-2"/>
          <c:w val="0.55376903649009335"/>
          <c:h val="0.85098799135814207"/>
        </c:manualLayout>
      </c:layout>
      <c:barChart>
        <c:barDir val="bar"/>
        <c:grouping val="clustered"/>
        <c:varyColors val="0"/>
        <c:ser>
          <c:idx val="0"/>
          <c:order val="0"/>
          <c:tx>
            <c:strRef>
              <c:f>Analyze!$D$42</c:f>
              <c:strCache>
                <c:ptCount val="1"/>
                <c:pt idx="0">
                  <c:v>Total Deaths</c:v>
                </c:pt>
              </c:strCache>
            </c:strRef>
          </c:tx>
          <c:spPr>
            <a:solidFill>
              <a:schemeClr val="accent1"/>
            </a:solidFill>
            <a:ln>
              <a:noFill/>
            </a:ln>
            <a:effectLst/>
          </c:spPr>
          <c:invertIfNegative val="0"/>
          <c:cat>
            <c:strRef>
              <c:f>Analyze!$C$43:$C$52</c:f>
              <c:strCache>
                <c:ptCount val="10"/>
                <c:pt idx="0">
                  <c:v>Less than 1yrs</c:v>
                </c:pt>
                <c:pt idx="1">
                  <c:v>1 to 4 yrs</c:v>
                </c:pt>
                <c:pt idx="2">
                  <c:v>5 to 9 yrs</c:v>
                </c:pt>
                <c:pt idx="3">
                  <c:v>10 to 14 yrs</c:v>
                </c:pt>
                <c:pt idx="4">
                  <c:v>15 to 24 yrs</c:v>
                </c:pt>
                <c:pt idx="5">
                  <c:v>25 to 34 yrs</c:v>
                </c:pt>
                <c:pt idx="6">
                  <c:v>35 to 44 yrs</c:v>
                </c:pt>
                <c:pt idx="7">
                  <c:v>45 to 54 yrs</c:v>
                </c:pt>
                <c:pt idx="8">
                  <c:v>55 to 64 yrs</c:v>
                </c:pt>
                <c:pt idx="9">
                  <c:v>65 above</c:v>
                </c:pt>
              </c:strCache>
            </c:strRef>
          </c:cat>
          <c:val>
            <c:numRef>
              <c:f>Analyze!$D$43:$D$52</c:f>
              <c:numCache>
                <c:formatCode>#,##0</c:formatCode>
                <c:ptCount val="10"/>
                <c:pt idx="0">
                  <c:v>13190</c:v>
                </c:pt>
                <c:pt idx="1">
                  <c:v>2679</c:v>
                </c:pt>
                <c:pt idx="2">
                  <c:v>1806</c:v>
                </c:pt>
                <c:pt idx="3">
                  <c:v>2787</c:v>
                </c:pt>
                <c:pt idx="4">
                  <c:v>33791</c:v>
                </c:pt>
                <c:pt idx="5">
                  <c:v>69327</c:v>
                </c:pt>
                <c:pt idx="6">
                  <c:v>101214</c:v>
                </c:pt>
                <c:pt idx="7">
                  <c:v>173586</c:v>
                </c:pt>
                <c:pt idx="8">
                  <c:v>386826</c:v>
                </c:pt>
                <c:pt idx="9">
                  <c:v>1882391</c:v>
                </c:pt>
              </c:numCache>
            </c:numRef>
          </c:val>
        </c:ser>
        <c:dLbls>
          <c:showLegendKey val="0"/>
          <c:showVal val="0"/>
          <c:showCatName val="0"/>
          <c:showSerName val="0"/>
          <c:showPercent val="0"/>
          <c:showBubbleSize val="0"/>
        </c:dLbls>
        <c:gapWidth val="39"/>
        <c:axId val="-1945686960"/>
        <c:axId val="-1945686416"/>
      </c:barChart>
      <c:catAx>
        <c:axId val="-1945686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686416"/>
        <c:crosses val="autoZero"/>
        <c:auto val="1"/>
        <c:lblAlgn val="ctr"/>
        <c:lblOffset val="100"/>
        <c:noMultiLvlLbl val="0"/>
      </c:catAx>
      <c:valAx>
        <c:axId val="-19456864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686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Analyze!$E$10:$E$36</c:f>
              <c:strCache>
                <c:ptCount val="27"/>
                <c:pt idx="0">
                  <c:v>Alzheimer's Disease</c:v>
                </c:pt>
                <c:pt idx="1">
                  <c:v>Bacterial Sepsis</c:v>
                </c:pt>
                <c:pt idx="2">
                  <c:v>Benign Neoplasms</c:v>
                </c:pt>
                <c:pt idx="3">
                  <c:v>Cerebrovascular</c:v>
                </c:pt>
                <c:pt idx="4">
                  <c:v>Chronic Low. Respiratory Disease</c:v>
                </c:pt>
                <c:pt idx="5">
                  <c:v>Circulatory System Disease</c:v>
                </c:pt>
                <c:pt idx="6">
                  <c:v>Complicated Pregnancy</c:v>
                </c:pt>
                <c:pt idx="7">
                  <c:v>Congenital Anomalies</c:v>
                </c:pt>
                <c:pt idx="8">
                  <c:v>Covid-19</c:v>
                </c:pt>
                <c:pt idx="9">
                  <c:v>Diabetes Mellitus</c:v>
                </c:pt>
                <c:pt idx="10">
                  <c:v>Heart Disease</c:v>
                </c:pt>
                <c:pt idx="11">
                  <c:v>Homicide</c:v>
                </c:pt>
                <c:pt idx="12">
                  <c:v>Influenza &amp; Pneumonia</c:v>
                </c:pt>
                <c:pt idx="13">
                  <c:v>Intrauterine Hypoxia</c:v>
                </c:pt>
                <c:pt idx="14">
                  <c:v>Liver Disease</c:v>
                </c:pt>
                <c:pt idx="15">
                  <c:v>Malignant Neoplasms</c:v>
                </c:pt>
                <c:pt idx="16">
                  <c:v>Maternal Pregnancy Comp.</c:v>
                </c:pt>
                <c:pt idx="17">
                  <c:v>Nephritis</c:v>
                </c:pt>
                <c:pt idx="18">
                  <c:v>Parkinson's Disease</c:v>
                </c:pt>
                <c:pt idx="19">
                  <c:v>Perinatal Period</c:v>
                </c:pt>
                <c:pt idx="20">
                  <c:v>Placenta  Cord Membranes</c:v>
                </c:pt>
                <c:pt idx="21">
                  <c:v>Respiratory Distress</c:v>
                </c:pt>
                <c:pt idx="22">
                  <c:v>Septicemia</c:v>
                </c:pt>
                <c:pt idx="23">
                  <c:v>Short Gestation</c:v>
                </c:pt>
                <c:pt idx="24">
                  <c:v>Sids</c:v>
                </c:pt>
                <c:pt idx="25">
                  <c:v>Suicide</c:v>
                </c:pt>
                <c:pt idx="26">
                  <c:v>Unintentional Injury</c:v>
                </c:pt>
              </c:strCache>
            </c:strRef>
          </c:cat>
          <c:val>
            <c:numRef>
              <c:f>Analyze!$H$10:$H$36</c:f>
              <c:numCache>
                <c:formatCode>#,##0</c:formatCode>
                <c:ptCount val="27"/>
                <c:pt idx="0">
                  <c:v>237321</c:v>
                </c:pt>
                <c:pt idx="1">
                  <c:v>557</c:v>
                </c:pt>
                <c:pt idx="2">
                  <c:v>37</c:v>
                </c:pt>
                <c:pt idx="3">
                  <c:v>325682</c:v>
                </c:pt>
                <c:pt idx="4">
                  <c:v>283387</c:v>
                </c:pt>
                <c:pt idx="5">
                  <c:v>402</c:v>
                </c:pt>
                <c:pt idx="6">
                  <c:v>1011</c:v>
                </c:pt>
                <c:pt idx="7">
                  <c:v>5144</c:v>
                </c:pt>
                <c:pt idx="8">
                  <c:v>833692</c:v>
                </c:pt>
                <c:pt idx="9">
                  <c:v>206575</c:v>
                </c:pt>
                <c:pt idx="10">
                  <c:v>1390805</c:v>
                </c:pt>
                <c:pt idx="11">
                  <c:v>22632</c:v>
                </c:pt>
                <c:pt idx="12">
                  <c:v>74</c:v>
                </c:pt>
                <c:pt idx="13">
                  <c:v>358</c:v>
                </c:pt>
                <c:pt idx="14">
                  <c:v>92416</c:v>
                </c:pt>
                <c:pt idx="15">
                  <c:v>1210367</c:v>
                </c:pt>
                <c:pt idx="16">
                  <c:v>1113</c:v>
                </c:pt>
                <c:pt idx="17">
                  <c:v>98371</c:v>
                </c:pt>
                <c:pt idx="18">
                  <c:v>37568</c:v>
                </c:pt>
                <c:pt idx="19">
                  <c:v>68</c:v>
                </c:pt>
                <c:pt idx="20">
                  <c:v>672</c:v>
                </c:pt>
                <c:pt idx="21">
                  <c:v>414</c:v>
                </c:pt>
                <c:pt idx="22">
                  <c:v>7613</c:v>
                </c:pt>
                <c:pt idx="23">
                  <c:v>2946</c:v>
                </c:pt>
                <c:pt idx="24">
                  <c:v>1459</c:v>
                </c:pt>
                <c:pt idx="25">
                  <c:v>38518</c:v>
                </c:pt>
                <c:pt idx="26">
                  <c:v>449851</c:v>
                </c:pt>
              </c:numCache>
            </c:numRef>
          </c:val>
        </c:ser>
        <c:dLbls>
          <c:showLegendKey val="0"/>
          <c:showVal val="0"/>
          <c:showCatName val="0"/>
          <c:showSerName val="0"/>
          <c:showPercent val="0"/>
          <c:showBubbleSize val="0"/>
        </c:dLbls>
        <c:gapWidth val="182"/>
        <c:axId val="-2075176400"/>
        <c:axId val="-1953670832"/>
      </c:barChart>
      <c:catAx>
        <c:axId val="-2075176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670832"/>
        <c:crosses val="autoZero"/>
        <c:auto val="1"/>
        <c:lblAlgn val="ctr"/>
        <c:lblOffset val="100"/>
        <c:noMultiLvlLbl val="0"/>
      </c:catAx>
      <c:valAx>
        <c:axId val="-19536708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17640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Analyze!$D$42</c:f>
              <c:strCache>
                <c:ptCount val="1"/>
                <c:pt idx="0">
                  <c:v>Total Deaths</c:v>
                </c:pt>
              </c:strCache>
            </c:strRef>
          </c:tx>
          <c:spPr>
            <a:solidFill>
              <a:schemeClr val="accent1"/>
            </a:solidFill>
            <a:ln>
              <a:noFill/>
            </a:ln>
            <a:effectLst/>
          </c:spPr>
          <c:invertIfNegative val="0"/>
          <c:cat>
            <c:strRef>
              <c:f>Analyze!$C$43:$C$52</c:f>
              <c:strCache>
                <c:ptCount val="10"/>
                <c:pt idx="0">
                  <c:v>Less than 1yrs</c:v>
                </c:pt>
                <c:pt idx="1">
                  <c:v>1 to 4 yrs</c:v>
                </c:pt>
                <c:pt idx="2">
                  <c:v>5 to 9 yrs</c:v>
                </c:pt>
                <c:pt idx="3">
                  <c:v>10 to 14 yrs</c:v>
                </c:pt>
                <c:pt idx="4">
                  <c:v>15 to 24 yrs</c:v>
                </c:pt>
                <c:pt idx="5">
                  <c:v>25 to 34 yrs</c:v>
                </c:pt>
                <c:pt idx="6">
                  <c:v>35 to 44 yrs</c:v>
                </c:pt>
                <c:pt idx="7">
                  <c:v>45 to 54 yrs</c:v>
                </c:pt>
                <c:pt idx="8">
                  <c:v>55 to 64 yrs</c:v>
                </c:pt>
                <c:pt idx="9">
                  <c:v>65 above</c:v>
                </c:pt>
              </c:strCache>
            </c:strRef>
          </c:cat>
          <c:val>
            <c:numRef>
              <c:f>Analyze!$D$43:$D$52</c:f>
              <c:numCache>
                <c:formatCode>#,##0</c:formatCode>
                <c:ptCount val="10"/>
                <c:pt idx="0">
                  <c:v>13190</c:v>
                </c:pt>
                <c:pt idx="1">
                  <c:v>2679</c:v>
                </c:pt>
                <c:pt idx="2">
                  <c:v>1806</c:v>
                </c:pt>
                <c:pt idx="3">
                  <c:v>2787</c:v>
                </c:pt>
                <c:pt idx="4">
                  <c:v>33791</c:v>
                </c:pt>
                <c:pt idx="5">
                  <c:v>69327</c:v>
                </c:pt>
                <c:pt idx="6">
                  <c:v>101214</c:v>
                </c:pt>
                <c:pt idx="7">
                  <c:v>173586</c:v>
                </c:pt>
                <c:pt idx="8">
                  <c:v>386826</c:v>
                </c:pt>
                <c:pt idx="9">
                  <c:v>1882391</c:v>
                </c:pt>
              </c:numCache>
            </c:numRef>
          </c:val>
        </c:ser>
        <c:dLbls>
          <c:showLegendKey val="0"/>
          <c:showVal val="0"/>
          <c:showCatName val="0"/>
          <c:showSerName val="0"/>
          <c:showPercent val="0"/>
          <c:showBubbleSize val="0"/>
        </c:dLbls>
        <c:gapWidth val="219"/>
        <c:axId val="-1945680976"/>
        <c:axId val="-1945683696"/>
      </c:barChart>
      <c:catAx>
        <c:axId val="-1945680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683696"/>
        <c:crosses val="autoZero"/>
        <c:auto val="1"/>
        <c:lblAlgn val="ctr"/>
        <c:lblOffset val="100"/>
        <c:noMultiLvlLbl val="0"/>
      </c:catAx>
      <c:valAx>
        <c:axId val="-19456836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68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19</xdr:col>
      <xdr:colOff>400050</xdr:colOff>
      <xdr:row>3</xdr:row>
      <xdr:rowOff>76200</xdr:rowOff>
    </xdr:from>
    <xdr:to>
      <xdr:col>36</xdr:col>
      <xdr:colOff>503517</xdr:colOff>
      <xdr:row>32</xdr:row>
      <xdr:rowOff>110606</xdr:rowOff>
    </xdr:to>
    <xdr:pic>
      <xdr:nvPicPr>
        <xdr:cNvPr id="2" name="Picture 1"/>
        <xdr:cNvPicPr>
          <a:picLocks noChangeAspect="1"/>
        </xdr:cNvPicPr>
      </xdr:nvPicPr>
      <xdr:blipFill>
        <a:blip xmlns:r="http://schemas.openxmlformats.org/officeDocument/2006/relationships" r:embed="rId1"/>
        <a:stretch>
          <a:fillRect/>
        </a:stretch>
      </xdr:blipFill>
      <xdr:spPr>
        <a:xfrm>
          <a:off x="12592050" y="647700"/>
          <a:ext cx="10466667" cy="5485714"/>
        </a:xfrm>
        <a:prstGeom prst="rect">
          <a:avLst/>
        </a:prstGeom>
      </xdr:spPr>
    </xdr:pic>
    <xdr:clientData/>
  </xdr:twoCellAnchor>
  <xdr:twoCellAnchor>
    <xdr:from>
      <xdr:col>1</xdr:col>
      <xdr:colOff>19050</xdr:colOff>
      <xdr:row>1</xdr:row>
      <xdr:rowOff>0</xdr:rowOff>
    </xdr:from>
    <xdr:to>
      <xdr:col>9</xdr:col>
      <xdr:colOff>10026</xdr:colOff>
      <xdr:row>3</xdr:row>
      <xdr:rowOff>38100</xdr:rowOff>
    </xdr:to>
    <xdr:sp macro="" textlink="">
      <xdr:nvSpPr>
        <xdr:cNvPr id="20" name="Rectangle 19"/>
        <xdr:cNvSpPr/>
      </xdr:nvSpPr>
      <xdr:spPr>
        <a:xfrm>
          <a:off x="169445" y="100263"/>
          <a:ext cx="12694318" cy="419100"/>
        </a:xfrm>
        <a:prstGeom prst="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800" b="1" i="0"/>
            <a:t>USA</a:t>
          </a:r>
          <a:r>
            <a:rPr lang="en-PH" sz="1800" b="1" i="0" baseline="0"/>
            <a:t> Leading Cause of Deaths</a:t>
          </a:r>
          <a:endParaRPr lang="en-PH" sz="1800" b="1" i="0"/>
        </a:p>
      </xdr:txBody>
    </xdr:sp>
    <xdr:clientData/>
  </xdr:twoCellAnchor>
  <xdr:twoCellAnchor>
    <xdr:from>
      <xdr:col>7</xdr:col>
      <xdr:colOff>363329</xdr:colOff>
      <xdr:row>3</xdr:row>
      <xdr:rowOff>104774</xdr:rowOff>
    </xdr:from>
    <xdr:to>
      <xdr:col>7</xdr:col>
      <xdr:colOff>1553579</xdr:colOff>
      <xdr:row>6</xdr:row>
      <xdr:rowOff>57150</xdr:rowOff>
    </xdr:to>
    <xdr:grpSp>
      <xdr:nvGrpSpPr>
        <xdr:cNvPr id="45" name="Group 44"/>
        <xdr:cNvGrpSpPr/>
      </xdr:nvGrpSpPr>
      <xdr:grpSpPr>
        <a:xfrm>
          <a:off x="10383629" y="590549"/>
          <a:ext cx="1190250" cy="447676"/>
          <a:chOff x="1228725" y="603250"/>
          <a:chExt cx="1381124" cy="447676"/>
        </a:xfrm>
      </xdr:grpSpPr>
      <xdr:sp macro="" textlink="">
        <xdr:nvSpPr>
          <xdr:cNvPr id="27" name="Rectangle 26"/>
          <xdr:cNvSpPr/>
        </xdr:nvSpPr>
        <xdr:spPr>
          <a:xfrm>
            <a:off x="1238249" y="603250"/>
            <a:ext cx="1371600" cy="447675"/>
          </a:xfrm>
          <a:prstGeom prst="rect">
            <a:avLst/>
          </a:prstGeom>
          <a:solidFill>
            <a:schemeClr val="accent1">
              <a:lumMod val="75000"/>
            </a:schemeClr>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PH" sz="1100"/>
          </a:p>
        </xdr:txBody>
      </xdr:sp>
      <xdr:sp macro="" textlink="Analyze!$A$4">
        <xdr:nvSpPr>
          <xdr:cNvPr id="7" name="TextBox 6"/>
          <xdr:cNvSpPr txBox="1"/>
        </xdr:nvSpPr>
        <xdr:spPr>
          <a:xfrm>
            <a:off x="1228725" y="727076"/>
            <a:ext cx="1371600" cy="32385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FB757D-2FFC-41EC-BD20-17208BDB9D99}" type="TxLink">
              <a:rPr lang="en-US" sz="1600" b="0" i="0" u="none" strike="noStrike">
                <a:solidFill>
                  <a:schemeClr val="bg1"/>
                </a:solidFill>
                <a:latin typeface="Calibri"/>
                <a:cs typeface="Calibri"/>
              </a:rPr>
              <a:pPr algn="ctr"/>
              <a:t>695,547</a:t>
            </a:fld>
            <a:endParaRPr lang="en-PH" sz="1600">
              <a:solidFill>
                <a:schemeClr val="bg1"/>
              </a:solidFill>
            </a:endParaRPr>
          </a:p>
        </xdr:txBody>
      </xdr:sp>
      <xdr:sp macro="" textlink="">
        <xdr:nvSpPr>
          <xdr:cNvPr id="28" name="TextBox 27"/>
          <xdr:cNvSpPr txBox="1"/>
        </xdr:nvSpPr>
        <xdr:spPr>
          <a:xfrm>
            <a:off x="1314450" y="603250"/>
            <a:ext cx="12001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100">
                <a:solidFill>
                  <a:schemeClr val="bg1"/>
                </a:solidFill>
              </a:rPr>
              <a:t>Max Death</a:t>
            </a:r>
          </a:p>
        </xdr:txBody>
      </xdr:sp>
    </xdr:grpSp>
    <xdr:clientData/>
  </xdr:twoCellAnchor>
  <xdr:twoCellAnchor>
    <xdr:from>
      <xdr:col>6</xdr:col>
      <xdr:colOff>65505</xdr:colOff>
      <xdr:row>4</xdr:row>
      <xdr:rowOff>21389</xdr:rowOff>
    </xdr:from>
    <xdr:to>
      <xdr:col>6</xdr:col>
      <xdr:colOff>1192630</xdr:colOff>
      <xdr:row>6</xdr:row>
      <xdr:rowOff>80879</xdr:rowOff>
    </xdr:to>
    <xdr:grpSp>
      <xdr:nvGrpSpPr>
        <xdr:cNvPr id="46" name="Group 45"/>
        <xdr:cNvGrpSpPr/>
      </xdr:nvGrpSpPr>
      <xdr:grpSpPr>
        <a:xfrm>
          <a:off x="8028405" y="621464"/>
          <a:ext cx="1127125" cy="440490"/>
          <a:chOff x="2876550" y="603250"/>
          <a:chExt cx="1381124" cy="438151"/>
        </a:xfrm>
      </xdr:grpSpPr>
      <xdr:sp macro="" textlink="">
        <xdr:nvSpPr>
          <xdr:cNvPr id="31" name="Rectangle 30"/>
          <xdr:cNvSpPr/>
        </xdr:nvSpPr>
        <xdr:spPr>
          <a:xfrm>
            <a:off x="2886074" y="603250"/>
            <a:ext cx="1371600" cy="438150"/>
          </a:xfrm>
          <a:prstGeom prst="rect">
            <a:avLst/>
          </a:prstGeom>
          <a:solidFill>
            <a:schemeClr val="accent1">
              <a:lumMod val="75000"/>
            </a:schemeClr>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PH" sz="1100"/>
          </a:p>
        </xdr:txBody>
      </xdr:sp>
      <xdr:sp macro="" textlink="Analyze!$B$4">
        <xdr:nvSpPr>
          <xdr:cNvPr id="32" name="TextBox 31"/>
          <xdr:cNvSpPr txBox="1"/>
        </xdr:nvSpPr>
        <xdr:spPr>
          <a:xfrm>
            <a:off x="2876550" y="717551"/>
            <a:ext cx="1371600" cy="32385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15981A-10C6-45DD-846A-48C5704985DF}" type="TxLink">
              <a:rPr lang="en-US" sz="1600" b="0" i="0" u="none" strike="noStrike">
                <a:solidFill>
                  <a:schemeClr val="bg1"/>
                </a:solidFill>
                <a:latin typeface="Calibri"/>
                <a:cs typeface="Calibri"/>
              </a:rPr>
              <a:pPr algn="ctr"/>
              <a:t>27</a:t>
            </a:fld>
            <a:endParaRPr lang="en-PH" sz="2400">
              <a:solidFill>
                <a:schemeClr val="bg1"/>
              </a:solidFill>
            </a:endParaRPr>
          </a:p>
        </xdr:txBody>
      </xdr:sp>
      <xdr:sp macro="" textlink="">
        <xdr:nvSpPr>
          <xdr:cNvPr id="33" name="TextBox 32"/>
          <xdr:cNvSpPr txBox="1"/>
        </xdr:nvSpPr>
        <xdr:spPr>
          <a:xfrm>
            <a:off x="2990850" y="603250"/>
            <a:ext cx="12001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100">
                <a:solidFill>
                  <a:schemeClr val="bg1"/>
                </a:solidFill>
              </a:rPr>
              <a:t>Min Death</a:t>
            </a:r>
          </a:p>
        </xdr:txBody>
      </xdr:sp>
    </xdr:grpSp>
    <xdr:clientData/>
  </xdr:twoCellAnchor>
  <xdr:twoCellAnchor>
    <xdr:from>
      <xdr:col>6</xdr:col>
      <xdr:colOff>1251284</xdr:colOff>
      <xdr:row>4</xdr:row>
      <xdr:rowOff>15039</xdr:rowOff>
    </xdr:from>
    <xdr:to>
      <xdr:col>7</xdr:col>
      <xdr:colOff>327359</xdr:colOff>
      <xdr:row>6</xdr:row>
      <xdr:rowOff>68180</xdr:rowOff>
    </xdr:to>
    <xdr:grpSp>
      <xdr:nvGrpSpPr>
        <xdr:cNvPr id="47" name="Group 46"/>
        <xdr:cNvGrpSpPr/>
      </xdr:nvGrpSpPr>
      <xdr:grpSpPr>
        <a:xfrm>
          <a:off x="9214184" y="615114"/>
          <a:ext cx="1133475" cy="434141"/>
          <a:chOff x="4410075" y="600075"/>
          <a:chExt cx="1381124" cy="438151"/>
        </a:xfrm>
      </xdr:grpSpPr>
      <xdr:sp macro="" textlink="">
        <xdr:nvSpPr>
          <xdr:cNvPr id="35" name="Rectangle 34"/>
          <xdr:cNvSpPr/>
        </xdr:nvSpPr>
        <xdr:spPr>
          <a:xfrm>
            <a:off x="4419599" y="600075"/>
            <a:ext cx="1371600" cy="438150"/>
          </a:xfrm>
          <a:prstGeom prst="rect">
            <a:avLst/>
          </a:prstGeom>
          <a:solidFill>
            <a:schemeClr val="accent1">
              <a:lumMod val="75000"/>
            </a:schemeClr>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PH" sz="1100"/>
          </a:p>
        </xdr:txBody>
      </xdr:sp>
      <xdr:sp macro="" textlink="Analyze!$C$4">
        <xdr:nvSpPr>
          <xdr:cNvPr id="36" name="TextBox 35"/>
          <xdr:cNvSpPr txBox="1"/>
        </xdr:nvSpPr>
        <xdr:spPr>
          <a:xfrm>
            <a:off x="4410075" y="714376"/>
            <a:ext cx="1371600" cy="32385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1A510-C38A-4BA1-B19F-4792D9D19055}" type="TxLink">
              <a:rPr lang="en-US" sz="1600" b="0" i="0" u="none" strike="noStrike">
                <a:solidFill>
                  <a:schemeClr val="bg1"/>
                </a:solidFill>
                <a:latin typeface="Calibri"/>
                <a:cs typeface="Calibri"/>
              </a:rPr>
              <a:pPr algn="ctr"/>
              <a:t>47,719</a:t>
            </a:fld>
            <a:endParaRPr lang="en-PH" sz="3600">
              <a:solidFill>
                <a:schemeClr val="bg1"/>
              </a:solidFill>
            </a:endParaRPr>
          </a:p>
        </xdr:txBody>
      </xdr:sp>
      <xdr:sp macro="" textlink="">
        <xdr:nvSpPr>
          <xdr:cNvPr id="37" name="TextBox 36"/>
          <xdr:cNvSpPr txBox="1"/>
        </xdr:nvSpPr>
        <xdr:spPr>
          <a:xfrm>
            <a:off x="4524375" y="600075"/>
            <a:ext cx="12001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100">
                <a:solidFill>
                  <a:schemeClr val="bg1"/>
                </a:solidFill>
              </a:rPr>
              <a:t>Average Death</a:t>
            </a:r>
          </a:p>
        </xdr:txBody>
      </xdr:sp>
    </xdr:grpSp>
    <xdr:clientData/>
  </xdr:twoCellAnchor>
  <xdr:twoCellAnchor>
    <xdr:from>
      <xdr:col>7</xdr:col>
      <xdr:colOff>1618247</xdr:colOff>
      <xdr:row>3</xdr:row>
      <xdr:rowOff>105276</xdr:rowOff>
    </xdr:from>
    <xdr:to>
      <xdr:col>8</xdr:col>
      <xdr:colOff>1025692</xdr:colOff>
      <xdr:row>6</xdr:row>
      <xdr:rowOff>57652</xdr:rowOff>
    </xdr:to>
    <xdr:grpSp>
      <xdr:nvGrpSpPr>
        <xdr:cNvPr id="48" name="Group 47"/>
        <xdr:cNvGrpSpPr/>
      </xdr:nvGrpSpPr>
      <xdr:grpSpPr>
        <a:xfrm>
          <a:off x="11638547" y="591051"/>
          <a:ext cx="1160045" cy="447676"/>
          <a:chOff x="5962650" y="600075"/>
          <a:chExt cx="1381124" cy="447676"/>
        </a:xfrm>
      </xdr:grpSpPr>
      <xdr:sp macro="" textlink="">
        <xdr:nvSpPr>
          <xdr:cNvPr id="38" name="Rectangle 37"/>
          <xdr:cNvSpPr/>
        </xdr:nvSpPr>
        <xdr:spPr>
          <a:xfrm>
            <a:off x="5972174" y="600075"/>
            <a:ext cx="1371600" cy="447675"/>
          </a:xfrm>
          <a:prstGeom prst="rect">
            <a:avLst/>
          </a:prstGeom>
          <a:solidFill>
            <a:schemeClr val="accent1">
              <a:lumMod val="75000"/>
            </a:schemeClr>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PH" sz="1100"/>
          </a:p>
        </xdr:txBody>
      </xdr:sp>
      <xdr:sp macro="" textlink="Analyze!$D$4">
        <xdr:nvSpPr>
          <xdr:cNvPr id="39" name="TextBox 38"/>
          <xdr:cNvSpPr txBox="1"/>
        </xdr:nvSpPr>
        <xdr:spPr>
          <a:xfrm>
            <a:off x="5962650" y="723901"/>
            <a:ext cx="1371600" cy="32385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2467E8-FE8B-4939-8B30-65EEAE052D4B}" type="TxLink">
              <a:rPr lang="en-US" sz="1600" b="0" i="0" u="none" strike="noStrike">
                <a:solidFill>
                  <a:schemeClr val="bg1"/>
                </a:solidFill>
                <a:latin typeface="Calibri"/>
                <a:cs typeface="Calibri"/>
              </a:rPr>
              <a:pPr algn="ctr"/>
              <a:t>57.75</a:t>
            </a:fld>
            <a:endParaRPr lang="en-PH" sz="4800">
              <a:solidFill>
                <a:schemeClr val="bg1"/>
              </a:solidFill>
            </a:endParaRPr>
          </a:p>
        </xdr:txBody>
      </xdr:sp>
      <xdr:sp macro="" textlink="">
        <xdr:nvSpPr>
          <xdr:cNvPr id="40" name="TextBox 39"/>
          <xdr:cNvSpPr txBox="1"/>
        </xdr:nvSpPr>
        <xdr:spPr>
          <a:xfrm>
            <a:off x="6076950" y="600075"/>
            <a:ext cx="12001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100">
                <a:solidFill>
                  <a:schemeClr val="bg1"/>
                </a:solidFill>
              </a:rPr>
              <a:t>Crude Rate</a:t>
            </a:r>
          </a:p>
        </xdr:txBody>
      </xdr:sp>
    </xdr:grpSp>
    <xdr:clientData/>
  </xdr:twoCellAnchor>
  <xdr:twoCellAnchor>
    <xdr:from>
      <xdr:col>3</xdr:col>
      <xdr:colOff>0</xdr:colOff>
      <xdr:row>5</xdr:row>
      <xdr:rowOff>95251</xdr:rowOff>
    </xdr:from>
    <xdr:to>
      <xdr:col>5</xdr:col>
      <xdr:colOff>11641</xdr:colOff>
      <xdr:row>34</xdr:row>
      <xdr:rowOff>180473</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961522</xdr:colOff>
      <xdr:row>18</xdr:row>
      <xdr:rowOff>80210</xdr:rowOff>
    </xdr:from>
    <xdr:to>
      <xdr:col>2</xdr:col>
      <xdr:colOff>60157</xdr:colOff>
      <xdr:row>34</xdr:row>
      <xdr:rowOff>180473</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20052</xdr:colOff>
      <xdr:row>18</xdr:row>
      <xdr:rowOff>80211</xdr:rowOff>
    </xdr:from>
    <xdr:to>
      <xdr:col>1</xdr:col>
      <xdr:colOff>852236</xdr:colOff>
      <xdr:row>35</xdr:row>
      <xdr:rowOff>0</xdr:rowOff>
    </xdr:to>
    <mc:AlternateContent xmlns:mc="http://schemas.openxmlformats.org/markup-compatibility/2006">
      <mc:Choice xmlns:a14="http://schemas.microsoft.com/office/drawing/2010/main" Requires="a14">
        <xdr:graphicFrame macro="">
          <xdr:nvGraphicFramePr>
            <xdr:cNvPr id="30" name="Rank"/>
            <xdr:cNvGraphicFramePr/>
          </xdr:nvGraphicFramePr>
          <xdr:xfrm>
            <a:off x="0" y="0"/>
            <a:ext cx="0" cy="0"/>
          </xdr:xfrm>
          <a:graphic>
            <a:graphicData uri="http://schemas.microsoft.com/office/drawing/2010/slicer">
              <sle:slicer xmlns:sle="http://schemas.microsoft.com/office/drawing/2010/slicer" name="Rank"/>
            </a:graphicData>
          </a:graphic>
        </xdr:graphicFrame>
      </mc:Choice>
      <mc:Fallback>
        <xdr:sp macro="" textlink="">
          <xdr:nvSpPr>
            <xdr:cNvPr id="0" name=""/>
            <xdr:cNvSpPr>
              <a:spLocks noTextEdit="1"/>
            </xdr:cNvSpPr>
          </xdr:nvSpPr>
          <xdr:spPr>
            <a:xfrm>
              <a:off x="172452" y="3347286"/>
              <a:ext cx="832184" cy="315828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114300</xdr:colOff>
      <xdr:row>8</xdr:row>
      <xdr:rowOff>114301</xdr:rowOff>
    </xdr:from>
    <xdr:to>
      <xdr:col>16</xdr:col>
      <xdr:colOff>419100</xdr:colOff>
      <xdr:row>36</xdr:row>
      <xdr:rowOff>47625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704850</xdr:colOff>
      <xdr:row>41</xdr:row>
      <xdr:rowOff>147637</xdr:rowOff>
    </xdr:from>
    <xdr:to>
      <xdr:col>9</xdr:col>
      <xdr:colOff>95250</xdr:colOff>
      <xdr:row>56</xdr:row>
      <xdr:rowOff>33337</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368.924065856481" createdVersion="5" refreshedVersion="5" minRefreshableVersion="3" recordCount="110">
  <cacheSource type="worksheet">
    <worksheetSource ref="B3:G113" sheet="deaths_Table"/>
  </cacheSource>
  <cacheFields count="6">
    <cacheField name="Age Group" numFmtId="0">
      <sharedItems count="11">
        <s v="Less than 1yrs"/>
        <s v="1 to 4 yrs"/>
        <s v="10 to 14 yrs"/>
        <s v="15 to 24 yrs"/>
        <s v="25 to 34 yrs"/>
        <s v="35 to 44 yrs"/>
        <s v="45 to 54 yrs"/>
        <s v="5 to 9 yrs"/>
        <s v="55 to 64 yrs"/>
        <s v="65 above"/>
        <s v="All Ages"/>
      </sharedItems>
    </cacheField>
    <cacheField name="Rank" numFmtId="0">
      <sharedItems containsSemiMixedTypes="0" containsString="0" containsNumber="1" containsInteger="1" minValue="1" maxValue="10" count="10">
        <n v="1"/>
        <n v="2"/>
        <n v="3"/>
        <n v="4"/>
        <n v="5"/>
        <n v="6"/>
        <n v="7"/>
        <n v="8"/>
        <n v="9"/>
        <n v="10"/>
      </sharedItems>
    </cacheField>
    <cacheField name="Cause Category" numFmtId="0">
      <sharedItems count="27">
        <s v="Congenital Anomalies"/>
        <s v="Short Gestation"/>
        <s v="Sids"/>
        <s v="Unintentional Injury"/>
        <s v="Maternal Pregnancy Comp."/>
        <s v="Placenta  Cord Membranes"/>
        <s v="Bacterial Sepsis"/>
        <s v="Respiratory Distress"/>
        <s v="Circulatory System Disease"/>
        <s v="Intrauterine Hypoxia"/>
        <s v="Homicide"/>
        <s v="Malignant Neoplasms"/>
        <s v="Heart Disease"/>
        <s v="Perinatal Period"/>
        <s v="Cerebrovascular"/>
        <s v="Covid-19"/>
        <s v="Influenza &amp; Pneumonia"/>
        <s v="Benign Neoplasms"/>
        <s v="Suicide"/>
        <s v="Chronic Low. Respiratory Disease"/>
        <s v="Diabetes Mellitus"/>
        <s v="Complicated Pregnancy"/>
        <s v="Liver Disease"/>
        <s v="Septicemia"/>
        <s v="Alzheimer's Disease"/>
        <s v="Nephritis"/>
        <s v="Parkinson's Disease"/>
      </sharedItems>
    </cacheField>
    <cacheField name="Deaths" numFmtId="0">
      <sharedItems containsSemiMixedTypes="0" containsString="0" containsNumber="1" containsInteger="1" minValue="27" maxValue="695547" count="109">
        <n v="3963"/>
        <n v="2946"/>
        <n v="1459"/>
        <n v="1306"/>
        <n v="1113"/>
        <n v="672"/>
        <n v="557"/>
        <n v="414"/>
        <n v="402"/>
        <n v="358"/>
        <n v="1299"/>
        <n v="412"/>
        <n v="309"/>
        <n v="282"/>
        <n v="116"/>
        <n v="68"/>
        <n v="55"/>
        <n v="54"/>
        <n v="47"/>
        <n v="37"/>
        <n v="915"/>
        <n v="598"/>
        <n v="449"/>
        <n v="298"/>
        <n v="179"/>
        <n v="132"/>
        <n v="79"/>
        <n v="53"/>
        <n v="45"/>
        <n v="39"/>
        <n v="15792"/>
        <n v="6635"/>
        <n v="6528"/>
        <n v="1401"/>
        <n v="1323"/>
        <n v="944"/>
        <n v="419"/>
        <n v="345"/>
        <n v="214"/>
        <n v="190"/>
        <n v="34452"/>
        <n v="8862"/>
        <n v="7571"/>
        <n v="6133"/>
        <n v="4155"/>
        <n v="3615"/>
        <n v="1833"/>
        <n v="1285"/>
        <n v="797"/>
        <n v="624"/>
        <n v="36444"/>
        <n v="16006"/>
        <n v="12754"/>
        <n v="11194"/>
        <n v="7862"/>
        <n v="5833"/>
        <n v="4863"/>
        <n v="2961"/>
        <n v="2189"/>
        <n v="1108"/>
        <n v="36881"/>
        <n v="34535"/>
        <n v="33567"/>
        <n v="31407"/>
        <n v="10501"/>
        <n v="7597"/>
        <n v="7401"/>
        <n v="5755"/>
        <n v="3174"/>
        <n v="2768"/>
        <n v="827"/>
        <n v="347"/>
        <n v="188"/>
        <n v="171"/>
        <n v="66"/>
        <n v="63"/>
        <n v="35"/>
        <n v="28"/>
        <n v="27"/>
        <n v="108023"/>
        <n v="89342"/>
        <n v="73725"/>
        <n v="33471"/>
        <n v="18603"/>
        <n v="17664"/>
        <n v="17620"/>
        <n v="14634"/>
        <n v="7267"/>
        <n v="6477"/>
        <n v="553214"/>
        <n v="446354"/>
        <n v="282457"/>
        <n v="139257"/>
        <n v="120152"/>
        <n v="117922"/>
        <n v="72451"/>
        <n v="69003"/>
        <n v="44013"/>
        <n v="37568"/>
        <n v="695547"/>
        <n v="605213"/>
        <n v="416893"/>
        <n v="224935"/>
        <n v="162890"/>
        <n v="142342"/>
        <n v="119399"/>
        <n v="103294"/>
        <n v="56585"/>
        <n v="54358"/>
      </sharedItems>
    </cacheField>
    <cacheField name="Crude Rate" numFmtId="0">
      <sharedItems containsSemiMixedTypes="0" containsString="0" containsNumber="1" minValue="0.1" maxValue="990.6"/>
    </cacheField>
    <cacheField name="Percentage" numFmtId="10">
      <sharedItems containsSemiMixedTypes="0" containsString="0" containsNumber="1" minValue="6.0000000000000001E-3" maxValue="0.49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0">
  <r>
    <x v="0"/>
    <x v="0"/>
    <x v="0"/>
    <x v="0"/>
    <n v="111.2"/>
    <n v="0.3"/>
  </r>
  <r>
    <x v="0"/>
    <x v="1"/>
    <x v="1"/>
    <x v="1"/>
    <n v="82.6"/>
    <n v="0.223"/>
  </r>
  <r>
    <x v="0"/>
    <x v="2"/>
    <x v="2"/>
    <x v="2"/>
    <n v="40.9"/>
    <n v="0.111"/>
  </r>
  <r>
    <x v="0"/>
    <x v="3"/>
    <x v="3"/>
    <x v="3"/>
    <n v="36.6"/>
    <n v="9.9000000000000005E-2"/>
  </r>
  <r>
    <x v="0"/>
    <x v="4"/>
    <x v="4"/>
    <x v="4"/>
    <n v="31.2"/>
    <n v="8.4000000000000005E-2"/>
  </r>
  <r>
    <x v="0"/>
    <x v="5"/>
    <x v="5"/>
    <x v="5"/>
    <n v="18.899999999999999"/>
    <n v="5.0999999999999997E-2"/>
  </r>
  <r>
    <x v="0"/>
    <x v="6"/>
    <x v="6"/>
    <x v="6"/>
    <n v="15.6"/>
    <n v="4.2000000000000003E-2"/>
  </r>
  <r>
    <x v="0"/>
    <x v="7"/>
    <x v="7"/>
    <x v="7"/>
    <n v="11.6"/>
    <n v="3.1E-2"/>
  </r>
  <r>
    <x v="0"/>
    <x v="8"/>
    <x v="8"/>
    <x v="8"/>
    <n v="11.3"/>
    <n v="0.03"/>
  </r>
  <r>
    <x v="0"/>
    <x v="9"/>
    <x v="9"/>
    <x v="9"/>
    <n v="10"/>
    <n v="2.7E-2"/>
  </r>
  <r>
    <x v="1"/>
    <x v="0"/>
    <x v="3"/>
    <x v="10"/>
    <n v="8.5"/>
    <n v="0.48499999999999999"/>
  </r>
  <r>
    <x v="1"/>
    <x v="1"/>
    <x v="0"/>
    <x v="11"/>
    <n v="2.7"/>
    <n v="0.154"/>
  </r>
  <r>
    <x v="1"/>
    <x v="2"/>
    <x v="10"/>
    <x v="12"/>
    <n v="2"/>
    <n v="0.115"/>
  </r>
  <r>
    <x v="1"/>
    <x v="3"/>
    <x v="11"/>
    <x v="13"/>
    <n v="1.8"/>
    <n v="0.105"/>
  </r>
  <r>
    <x v="1"/>
    <x v="4"/>
    <x v="12"/>
    <x v="14"/>
    <n v="0.8"/>
    <n v="4.2999999999999997E-2"/>
  </r>
  <r>
    <x v="1"/>
    <x v="5"/>
    <x v="13"/>
    <x v="15"/>
    <n v="0.4"/>
    <n v="2.5000000000000001E-2"/>
  </r>
  <r>
    <x v="1"/>
    <x v="6"/>
    <x v="14"/>
    <x v="16"/>
    <n v="0.4"/>
    <n v="2.1000000000000001E-2"/>
  </r>
  <r>
    <x v="1"/>
    <x v="7"/>
    <x v="15"/>
    <x v="17"/>
    <n v="0.4"/>
    <n v="0.02"/>
  </r>
  <r>
    <x v="1"/>
    <x v="8"/>
    <x v="16"/>
    <x v="18"/>
    <n v="0.3"/>
    <n v="1.7999999999999999E-2"/>
  </r>
  <r>
    <x v="1"/>
    <x v="9"/>
    <x v="17"/>
    <x v="19"/>
    <n v="0.2"/>
    <n v="1.4E-2"/>
  </r>
  <r>
    <x v="2"/>
    <x v="0"/>
    <x v="3"/>
    <x v="20"/>
    <n v="4.3"/>
    <n v="0.32800000000000001"/>
  </r>
  <r>
    <x v="2"/>
    <x v="1"/>
    <x v="18"/>
    <x v="21"/>
    <n v="2.8"/>
    <n v="0.215"/>
  </r>
  <r>
    <x v="2"/>
    <x v="2"/>
    <x v="11"/>
    <x v="22"/>
    <n v="2.1"/>
    <n v="0.161"/>
  </r>
  <r>
    <x v="2"/>
    <x v="3"/>
    <x v="10"/>
    <x v="23"/>
    <n v="1.4"/>
    <n v="0.107"/>
  </r>
  <r>
    <x v="2"/>
    <x v="4"/>
    <x v="0"/>
    <x v="24"/>
    <n v="0.8"/>
    <n v="6.4000000000000001E-2"/>
  </r>
  <r>
    <x v="2"/>
    <x v="5"/>
    <x v="12"/>
    <x v="25"/>
    <n v="0.6"/>
    <n v="4.7E-2"/>
  </r>
  <r>
    <x v="2"/>
    <x v="6"/>
    <x v="15"/>
    <x v="26"/>
    <n v="0.4"/>
    <n v="2.8000000000000001E-2"/>
  </r>
  <r>
    <x v="2"/>
    <x v="7"/>
    <x v="14"/>
    <x v="27"/>
    <n v="0.2"/>
    <n v="1.9E-2"/>
  </r>
  <r>
    <x v="2"/>
    <x v="8"/>
    <x v="19"/>
    <x v="28"/>
    <n v="0.2"/>
    <n v="1.6E-2"/>
  </r>
  <r>
    <x v="2"/>
    <x v="9"/>
    <x v="20"/>
    <x v="29"/>
    <n v="0.2"/>
    <n v="1.4E-2"/>
  </r>
  <r>
    <x v="3"/>
    <x v="0"/>
    <x v="3"/>
    <x v="30"/>
    <n v="36.700000000000003"/>
    <n v="0.46700000000000003"/>
  </r>
  <r>
    <x v="3"/>
    <x v="1"/>
    <x v="10"/>
    <x v="31"/>
    <n v="15.4"/>
    <n v="0.19600000000000001"/>
  </r>
  <r>
    <x v="3"/>
    <x v="2"/>
    <x v="18"/>
    <x v="32"/>
    <n v="15.2"/>
    <n v="0.193"/>
  </r>
  <r>
    <x v="3"/>
    <x v="3"/>
    <x v="15"/>
    <x v="33"/>
    <n v="3.3"/>
    <n v="4.1000000000000002E-2"/>
  </r>
  <r>
    <x v="3"/>
    <x v="4"/>
    <x v="11"/>
    <x v="34"/>
    <n v="3.1"/>
    <n v="3.9E-2"/>
  </r>
  <r>
    <x v="3"/>
    <x v="5"/>
    <x v="12"/>
    <x v="35"/>
    <n v="2.2000000000000002"/>
    <n v="2.8000000000000001E-2"/>
  </r>
  <r>
    <x v="3"/>
    <x v="6"/>
    <x v="0"/>
    <x v="36"/>
    <n v="1"/>
    <n v="1.2E-2"/>
  </r>
  <r>
    <x v="3"/>
    <x v="7"/>
    <x v="20"/>
    <x v="37"/>
    <n v="0.8"/>
    <n v="0.01"/>
  </r>
  <r>
    <x v="3"/>
    <x v="8"/>
    <x v="21"/>
    <x v="38"/>
    <n v="0.5"/>
    <n v="6.0000000000000001E-3"/>
  </r>
  <r>
    <x v="3"/>
    <x v="9"/>
    <x v="14"/>
    <x v="39"/>
    <n v="0.4"/>
    <n v="6.0000000000000001E-3"/>
  </r>
  <r>
    <x v="4"/>
    <x v="0"/>
    <x v="3"/>
    <x v="40"/>
    <n v="75.7"/>
    <n v="0.497"/>
  </r>
  <r>
    <x v="4"/>
    <x v="1"/>
    <x v="18"/>
    <x v="41"/>
    <n v="19.5"/>
    <n v="0.128"/>
  </r>
  <r>
    <x v="4"/>
    <x v="2"/>
    <x v="10"/>
    <x v="42"/>
    <n v="16.600000000000001"/>
    <n v="0.109"/>
  </r>
  <r>
    <x v="4"/>
    <x v="3"/>
    <x v="15"/>
    <x v="43"/>
    <n v="13.5"/>
    <n v="8.7999999999999995E-2"/>
  </r>
  <r>
    <x v="4"/>
    <x v="4"/>
    <x v="12"/>
    <x v="44"/>
    <n v="9.1"/>
    <n v="0.06"/>
  </r>
  <r>
    <x v="4"/>
    <x v="5"/>
    <x v="11"/>
    <x v="45"/>
    <n v="7.9"/>
    <n v="5.1999999999999998E-2"/>
  </r>
  <r>
    <x v="4"/>
    <x v="6"/>
    <x v="22"/>
    <x v="46"/>
    <n v="4"/>
    <n v="2.5999999999999999E-2"/>
  </r>
  <r>
    <x v="4"/>
    <x v="7"/>
    <x v="20"/>
    <x v="47"/>
    <n v="2.8"/>
    <n v="1.9E-2"/>
  </r>
  <r>
    <x v="4"/>
    <x v="8"/>
    <x v="21"/>
    <x v="48"/>
    <n v="1.8"/>
    <n v="1.0999999999999999E-2"/>
  </r>
  <r>
    <x v="4"/>
    <x v="9"/>
    <x v="14"/>
    <x v="49"/>
    <n v="1.4"/>
    <n v="8.9999999999999993E-3"/>
  </r>
  <r>
    <x v="5"/>
    <x v="0"/>
    <x v="3"/>
    <x v="50"/>
    <n v="84"/>
    <n v="0.36"/>
  </r>
  <r>
    <x v="5"/>
    <x v="1"/>
    <x v="15"/>
    <x v="51"/>
    <n v="36.9"/>
    <n v="0.158"/>
  </r>
  <r>
    <x v="5"/>
    <x v="2"/>
    <x v="12"/>
    <x v="52"/>
    <n v="29.4"/>
    <n v="0.126"/>
  </r>
  <r>
    <x v="5"/>
    <x v="3"/>
    <x v="11"/>
    <x v="53"/>
    <n v="25.8"/>
    <n v="0.111"/>
  </r>
  <r>
    <x v="5"/>
    <x v="4"/>
    <x v="18"/>
    <x v="54"/>
    <n v="18.100000000000001"/>
    <n v="7.8E-2"/>
  </r>
  <r>
    <x v="5"/>
    <x v="5"/>
    <x v="22"/>
    <x v="55"/>
    <n v="13.4"/>
    <n v="5.8000000000000003E-2"/>
  </r>
  <r>
    <x v="5"/>
    <x v="6"/>
    <x v="10"/>
    <x v="56"/>
    <n v="11.2"/>
    <n v="4.8000000000000001E-2"/>
  </r>
  <r>
    <x v="5"/>
    <x v="7"/>
    <x v="20"/>
    <x v="57"/>
    <n v="6.8"/>
    <n v="2.9000000000000001E-2"/>
  </r>
  <r>
    <x v="5"/>
    <x v="8"/>
    <x v="14"/>
    <x v="58"/>
    <n v="5"/>
    <n v="2.1999999999999999E-2"/>
  </r>
  <r>
    <x v="5"/>
    <x v="9"/>
    <x v="23"/>
    <x v="59"/>
    <n v="2.6"/>
    <n v="1.0999999999999999E-2"/>
  </r>
  <r>
    <x v="6"/>
    <x v="0"/>
    <x v="15"/>
    <x v="60"/>
    <n v="90.6"/>
    <n v="0.21199999999999999"/>
  </r>
  <r>
    <x v="6"/>
    <x v="1"/>
    <x v="12"/>
    <x v="61"/>
    <n v="84.9"/>
    <n v="0.19900000000000001"/>
  </r>
  <r>
    <x v="6"/>
    <x v="2"/>
    <x v="11"/>
    <x v="62"/>
    <n v="82.5"/>
    <n v="0.193"/>
  </r>
  <r>
    <x v="6"/>
    <x v="3"/>
    <x v="3"/>
    <x v="63"/>
    <n v="77.2"/>
    <n v="0.18099999999999999"/>
  </r>
  <r>
    <x v="6"/>
    <x v="4"/>
    <x v="22"/>
    <x v="64"/>
    <n v="25.8"/>
    <n v="0.06"/>
  </r>
  <r>
    <x v="6"/>
    <x v="5"/>
    <x v="20"/>
    <x v="65"/>
    <n v="18.7"/>
    <n v="4.3999999999999997E-2"/>
  </r>
  <r>
    <x v="6"/>
    <x v="6"/>
    <x v="18"/>
    <x v="66"/>
    <n v="18.2"/>
    <n v="4.2999999999999997E-2"/>
  </r>
  <r>
    <x v="6"/>
    <x v="7"/>
    <x v="14"/>
    <x v="67"/>
    <n v="14.1"/>
    <n v="3.3000000000000002E-2"/>
  </r>
  <r>
    <x v="6"/>
    <x v="8"/>
    <x v="19"/>
    <x v="68"/>
    <n v="7.8"/>
    <n v="1.7999999999999999E-2"/>
  </r>
  <r>
    <x v="6"/>
    <x v="9"/>
    <x v="10"/>
    <x v="69"/>
    <n v="6.8"/>
    <n v="1.6E-2"/>
  </r>
  <r>
    <x v="7"/>
    <x v="0"/>
    <x v="3"/>
    <x v="70"/>
    <n v="4.0999999999999996"/>
    <n v="0.45800000000000002"/>
  </r>
  <r>
    <x v="7"/>
    <x v="1"/>
    <x v="11"/>
    <x v="71"/>
    <n v="1.7"/>
    <n v="0.192"/>
  </r>
  <r>
    <x v="7"/>
    <x v="2"/>
    <x v="10"/>
    <x v="72"/>
    <n v="0.9"/>
    <n v="0.104"/>
  </r>
  <r>
    <x v="7"/>
    <x v="3"/>
    <x v="0"/>
    <x v="73"/>
    <n v="0.8"/>
    <n v="9.5000000000000001E-2"/>
  </r>
  <r>
    <x v="7"/>
    <x v="4"/>
    <x v="12"/>
    <x v="74"/>
    <n v="0.3"/>
    <n v="3.6999999999999998E-2"/>
  </r>
  <r>
    <x v="7"/>
    <x v="5"/>
    <x v="15"/>
    <x v="75"/>
    <n v="0.3"/>
    <n v="3.5000000000000003E-2"/>
  </r>
  <r>
    <x v="7"/>
    <x v="6"/>
    <x v="19"/>
    <x v="17"/>
    <n v="0.3"/>
    <n v="0.03"/>
  </r>
  <r>
    <x v="7"/>
    <x v="7"/>
    <x v="14"/>
    <x v="76"/>
    <n v="0.2"/>
    <n v="1.9E-2"/>
  </r>
  <r>
    <x v="7"/>
    <x v="8"/>
    <x v="23"/>
    <x v="77"/>
    <n v="0.1"/>
    <n v="1.6E-2"/>
  </r>
  <r>
    <x v="7"/>
    <x v="9"/>
    <x v="16"/>
    <x v="78"/>
    <n v="0.1"/>
    <n v="1.4999999999999999E-2"/>
  </r>
  <r>
    <x v="8"/>
    <x v="0"/>
    <x v="11"/>
    <x v="79"/>
    <n v="252.4"/>
    <n v="0.27900000000000003"/>
  </r>
  <r>
    <x v="8"/>
    <x v="1"/>
    <x v="12"/>
    <x v="80"/>
    <n v="208.7"/>
    <n v="0.23100000000000001"/>
  </r>
  <r>
    <x v="8"/>
    <x v="2"/>
    <x v="15"/>
    <x v="81"/>
    <n v="172.2"/>
    <n v="0.191"/>
  </r>
  <r>
    <x v="8"/>
    <x v="3"/>
    <x v="3"/>
    <x v="82"/>
    <n v="78.2"/>
    <n v="8.6999999999999994E-2"/>
  </r>
  <r>
    <x v="8"/>
    <x v="4"/>
    <x v="20"/>
    <x v="83"/>
    <n v="43.5"/>
    <n v="4.8000000000000001E-2"/>
  </r>
  <r>
    <x v="8"/>
    <x v="5"/>
    <x v="22"/>
    <x v="84"/>
    <n v="41.3"/>
    <n v="4.5999999999999999E-2"/>
  </r>
  <r>
    <x v="8"/>
    <x v="6"/>
    <x v="19"/>
    <x v="85"/>
    <n v="41.2"/>
    <n v="4.5999999999999999E-2"/>
  </r>
  <r>
    <x v="8"/>
    <x v="7"/>
    <x v="14"/>
    <x v="86"/>
    <n v="34.200000000000003"/>
    <n v="3.7999999999999999E-2"/>
  </r>
  <r>
    <x v="8"/>
    <x v="8"/>
    <x v="18"/>
    <x v="87"/>
    <n v="17"/>
    <n v="1.9E-2"/>
  </r>
  <r>
    <x v="8"/>
    <x v="9"/>
    <x v="23"/>
    <x v="88"/>
    <n v="15.1"/>
    <n v="1.7000000000000001E-2"/>
  </r>
  <r>
    <x v="9"/>
    <x v="0"/>
    <x v="12"/>
    <x v="89"/>
    <n v="990.6"/>
    <n v="0.29399999999999998"/>
  </r>
  <r>
    <x v="9"/>
    <x v="1"/>
    <x v="11"/>
    <x v="90"/>
    <n v="799.2"/>
    <n v="0.23699999999999999"/>
  </r>
  <r>
    <x v="9"/>
    <x v="2"/>
    <x v="15"/>
    <x v="91"/>
    <n v="505.8"/>
    <n v="0.15"/>
  </r>
  <r>
    <x v="9"/>
    <x v="3"/>
    <x v="14"/>
    <x v="92"/>
    <n v="249.4"/>
    <n v="7.3999999999999996E-2"/>
  </r>
  <r>
    <x v="9"/>
    <x v="4"/>
    <x v="19"/>
    <x v="93"/>
    <n v="215.1"/>
    <n v="6.4000000000000001E-2"/>
  </r>
  <r>
    <x v="9"/>
    <x v="5"/>
    <x v="24"/>
    <x v="94"/>
    <n v="211.1"/>
    <n v="6.3E-2"/>
  </r>
  <r>
    <x v="9"/>
    <x v="6"/>
    <x v="20"/>
    <x v="95"/>
    <n v="129.69999999999999"/>
    <n v="3.7999999999999999E-2"/>
  </r>
  <r>
    <x v="9"/>
    <x v="7"/>
    <x v="3"/>
    <x v="96"/>
    <n v="123.6"/>
    <n v="3.6999999999999998E-2"/>
  </r>
  <r>
    <x v="9"/>
    <x v="8"/>
    <x v="25"/>
    <x v="97"/>
    <n v="78.8"/>
    <n v="2.3E-2"/>
  </r>
  <r>
    <x v="9"/>
    <x v="9"/>
    <x v="26"/>
    <x v="98"/>
    <n v="67.3"/>
    <n v="0.02"/>
  </r>
  <r>
    <x v="10"/>
    <x v="0"/>
    <x v="12"/>
    <x v="99"/>
    <n v="209.6"/>
    <n v="0.26900000000000002"/>
  </r>
  <r>
    <x v="10"/>
    <x v="1"/>
    <x v="11"/>
    <x v="100"/>
    <n v="182.4"/>
    <n v="0.23400000000000001"/>
  </r>
  <r>
    <x v="10"/>
    <x v="2"/>
    <x v="15"/>
    <x v="101"/>
    <n v="125.6"/>
    <n v="0.161"/>
  </r>
  <r>
    <x v="10"/>
    <x v="3"/>
    <x v="3"/>
    <x v="102"/>
    <n v="67.8"/>
    <n v="8.6999999999999994E-2"/>
  </r>
  <r>
    <x v="10"/>
    <x v="4"/>
    <x v="14"/>
    <x v="103"/>
    <n v="49.1"/>
    <n v="6.3E-2"/>
  </r>
  <r>
    <x v="10"/>
    <x v="5"/>
    <x v="19"/>
    <x v="104"/>
    <n v="42.9"/>
    <n v="5.5E-2"/>
  </r>
  <r>
    <x v="10"/>
    <x v="6"/>
    <x v="24"/>
    <x v="105"/>
    <n v="36"/>
    <n v="4.5999999999999999E-2"/>
  </r>
  <r>
    <x v="10"/>
    <x v="7"/>
    <x v="20"/>
    <x v="106"/>
    <n v="31.1"/>
    <n v="0.04"/>
  </r>
  <r>
    <x v="10"/>
    <x v="8"/>
    <x v="22"/>
    <x v="107"/>
    <n v="17"/>
    <n v="2.1999999999999999E-2"/>
  </r>
  <r>
    <x v="10"/>
    <x v="9"/>
    <x v="25"/>
    <x v="108"/>
    <n v="16.399999999999999"/>
    <n v="2.1000000000000001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9:D37" firstHeaderRow="0" firstDataRow="1" firstDataCol="1"/>
  <pivotFields count="6">
    <pivotField showAll="0">
      <items count="12">
        <item x="1"/>
        <item x="2"/>
        <item x="3"/>
        <item x="4"/>
        <item x="5"/>
        <item x="6"/>
        <item x="7"/>
        <item x="8"/>
        <item x="9"/>
        <item x="10"/>
        <item x="0"/>
        <item t="default"/>
      </items>
    </pivotField>
    <pivotField showAll="0">
      <items count="11">
        <item x="0"/>
        <item x="1"/>
        <item x="2"/>
        <item x="3"/>
        <item x="4"/>
        <item x="5"/>
        <item x="6"/>
        <item x="7"/>
        <item x="8"/>
        <item x="9"/>
        <item t="default"/>
      </items>
    </pivotField>
    <pivotField axis="axisRow" showAll="0">
      <items count="28">
        <item x="24"/>
        <item x="6"/>
        <item x="17"/>
        <item x="14"/>
        <item x="19"/>
        <item x="8"/>
        <item x="21"/>
        <item x="0"/>
        <item x="15"/>
        <item x="20"/>
        <item x="12"/>
        <item x="10"/>
        <item x="16"/>
        <item x="9"/>
        <item x="22"/>
        <item x="11"/>
        <item x="4"/>
        <item x="25"/>
        <item x="26"/>
        <item x="13"/>
        <item x="5"/>
        <item x="7"/>
        <item x="23"/>
        <item x="1"/>
        <item x="2"/>
        <item x="18"/>
        <item x="3"/>
        <item t="default"/>
      </items>
    </pivotField>
    <pivotField dataField="1" showAll="0">
      <items count="110">
        <item x="78"/>
        <item x="77"/>
        <item x="76"/>
        <item x="19"/>
        <item x="29"/>
        <item x="28"/>
        <item x="18"/>
        <item x="27"/>
        <item x="17"/>
        <item x="16"/>
        <item x="75"/>
        <item x="74"/>
        <item x="15"/>
        <item x="26"/>
        <item x="14"/>
        <item x="25"/>
        <item x="73"/>
        <item x="24"/>
        <item x="72"/>
        <item x="39"/>
        <item x="38"/>
        <item x="13"/>
        <item x="23"/>
        <item x="12"/>
        <item x="37"/>
        <item x="71"/>
        <item x="9"/>
        <item x="8"/>
        <item x="11"/>
        <item x="7"/>
        <item x="36"/>
        <item x="22"/>
        <item x="6"/>
        <item x="21"/>
        <item x="49"/>
        <item x="5"/>
        <item x="48"/>
        <item x="70"/>
        <item x="20"/>
        <item x="35"/>
        <item x="59"/>
        <item x="4"/>
        <item x="47"/>
        <item x="10"/>
        <item x="3"/>
        <item x="34"/>
        <item x="33"/>
        <item x="2"/>
        <item x="46"/>
        <item x="58"/>
        <item x="69"/>
        <item x="1"/>
        <item x="57"/>
        <item x="68"/>
        <item x="45"/>
        <item x="0"/>
        <item x="44"/>
        <item x="56"/>
        <item x="67"/>
        <item x="55"/>
        <item x="43"/>
        <item x="88"/>
        <item x="32"/>
        <item x="31"/>
        <item x="87"/>
        <item x="66"/>
        <item x="42"/>
        <item x="65"/>
        <item x="54"/>
        <item x="41"/>
        <item x="64"/>
        <item x="53"/>
        <item x="52"/>
        <item x="86"/>
        <item x="30"/>
        <item x="51"/>
        <item x="85"/>
        <item x="84"/>
        <item x="83"/>
        <item x="63"/>
        <item x="82"/>
        <item x="62"/>
        <item x="40"/>
        <item x="61"/>
        <item x="50"/>
        <item x="60"/>
        <item x="98"/>
        <item x="97"/>
        <item x="108"/>
        <item x="107"/>
        <item x="96"/>
        <item x="95"/>
        <item x="81"/>
        <item x="80"/>
        <item x="106"/>
        <item x="79"/>
        <item x="94"/>
        <item x="105"/>
        <item x="93"/>
        <item x="92"/>
        <item x="104"/>
        <item x="103"/>
        <item x="102"/>
        <item x="91"/>
        <item x="101"/>
        <item x="90"/>
        <item x="89"/>
        <item x="100"/>
        <item x="99"/>
        <item t="default"/>
      </items>
    </pivotField>
    <pivotField dataField="1" showAll="0"/>
    <pivotField dataField="1" numFmtId="10" showAll="0"/>
  </pivotFields>
  <rowFields count="1">
    <field x="2"/>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3">
    <i>
      <x/>
    </i>
    <i i="1">
      <x v="1"/>
    </i>
    <i i="2">
      <x v="2"/>
    </i>
  </colItems>
  <dataFields count="3">
    <dataField name="Average of Crude Rate" fld="4" subtotal="average" baseField="2" baseItem="0"/>
    <dataField name="Average of Percentage" fld="5" subtotal="average" baseField="2" baseItem="0"/>
    <dataField name="Sum of Deaths" fld="3" baseField="0" baseItem="0"/>
  </dataFields>
  <formats count="4">
    <format dxfId="1098">
      <pivotArea type="all" dataOnly="0" outline="0" fieldPosition="0"/>
    </format>
    <format dxfId="1099">
      <pivotArea outline="0" collapsedLevelsAreSubtotals="1" fieldPosition="0"/>
    </format>
    <format dxfId="1100">
      <pivotArea type="all" dataOnly="0" outline="0" fieldPosition="0"/>
    </format>
    <format dxfId="11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E4" firstHeaderRow="0" firstDataRow="1" firstDataCol="0"/>
  <pivotFields count="6">
    <pivotField showAll="0">
      <items count="12">
        <item x="1"/>
        <item x="2"/>
        <item x="3"/>
        <item x="4"/>
        <item x="5"/>
        <item x="6"/>
        <item x="7"/>
        <item x="8"/>
        <item x="9"/>
        <item x="10"/>
        <item x="0"/>
        <item t="default"/>
      </items>
    </pivotField>
    <pivotField showAll="0">
      <items count="11">
        <item x="0"/>
        <item x="1"/>
        <item x="2"/>
        <item x="3"/>
        <item x="4"/>
        <item x="5"/>
        <item x="6"/>
        <item x="7"/>
        <item x="8"/>
        <item x="9"/>
        <item t="default"/>
      </items>
    </pivotField>
    <pivotField showAll="0"/>
    <pivotField dataField="1" showAll="0">
      <items count="110">
        <item x="78"/>
        <item x="77"/>
        <item x="76"/>
        <item x="19"/>
        <item x="29"/>
        <item x="28"/>
        <item x="18"/>
        <item x="27"/>
        <item x="17"/>
        <item x="16"/>
        <item x="75"/>
        <item x="74"/>
        <item x="15"/>
        <item x="26"/>
        <item x="14"/>
        <item x="25"/>
        <item x="73"/>
        <item x="24"/>
        <item x="72"/>
        <item x="39"/>
        <item x="38"/>
        <item x="13"/>
        <item x="23"/>
        <item x="12"/>
        <item x="37"/>
        <item x="71"/>
        <item x="9"/>
        <item x="8"/>
        <item x="11"/>
        <item x="7"/>
        <item x="36"/>
        <item x="22"/>
        <item x="6"/>
        <item x="21"/>
        <item x="49"/>
        <item x="5"/>
        <item x="48"/>
        <item x="70"/>
        <item x="20"/>
        <item x="35"/>
        <item x="59"/>
        <item x="4"/>
        <item x="47"/>
        <item x="10"/>
        <item x="3"/>
        <item x="34"/>
        <item x="33"/>
        <item x="2"/>
        <item x="46"/>
        <item x="58"/>
        <item x="69"/>
        <item x="1"/>
        <item x="57"/>
        <item x="68"/>
        <item x="45"/>
        <item x="0"/>
        <item x="44"/>
        <item x="56"/>
        <item x="67"/>
        <item x="55"/>
        <item x="43"/>
        <item x="88"/>
        <item x="32"/>
        <item x="31"/>
        <item x="87"/>
        <item x="66"/>
        <item x="42"/>
        <item x="65"/>
        <item x="54"/>
        <item x="41"/>
        <item x="64"/>
        <item x="53"/>
        <item x="52"/>
        <item x="86"/>
        <item x="30"/>
        <item x="51"/>
        <item x="85"/>
        <item x="84"/>
        <item x="83"/>
        <item x="63"/>
        <item x="82"/>
        <item x="62"/>
        <item x="40"/>
        <item x="61"/>
        <item x="50"/>
        <item x="60"/>
        <item x="98"/>
        <item x="97"/>
        <item x="108"/>
        <item x="107"/>
        <item x="96"/>
        <item x="95"/>
        <item x="81"/>
        <item x="80"/>
        <item x="106"/>
        <item x="79"/>
        <item x="94"/>
        <item x="105"/>
        <item x="93"/>
        <item x="92"/>
        <item x="104"/>
        <item x="103"/>
        <item x="102"/>
        <item x="91"/>
        <item x="101"/>
        <item x="90"/>
        <item x="89"/>
        <item x="100"/>
        <item x="99"/>
        <item t="default"/>
      </items>
    </pivotField>
    <pivotField dataField="1" showAll="0"/>
    <pivotField dataField="1" numFmtId="10" showAll="0"/>
  </pivotFields>
  <rowItems count="1">
    <i/>
  </rowItems>
  <colFields count="1">
    <field x="-2"/>
  </colFields>
  <colItems count="5">
    <i>
      <x/>
    </i>
    <i i="1">
      <x v="1"/>
    </i>
    <i i="2">
      <x v="2"/>
    </i>
    <i i="3">
      <x v="3"/>
    </i>
    <i i="4">
      <x v="4"/>
    </i>
  </colItems>
  <dataFields count="5">
    <dataField name="Max of Deaths" fld="3" subtotal="max" baseField="0" baseItem="1465902128" numFmtId="3"/>
    <dataField name="Min of Deaths" fld="3" subtotal="min" baseField="0" baseItem="1"/>
    <dataField name="Average of Deaths2" fld="3" subtotal="average" baseField="0" baseItem="1" numFmtId="3"/>
    <dataField name="Average of Crude Rate" fld="4" subtotal="average" baseField="0" baseItem="3" numFmtId="2"/>
    <dataField name="Average of Percentage" fld="5" subtotal="average" baseField="0" baseItem="3" numFmtId="10"/>
  </dataFields>
  <formats count="10">
    <format dxfId="1088">
      <pivotArea type="all" dataOnly="0" outline="0" fieldPosition="0"/>
    </format>
    <format dxfId="1089">
      <pivotArea outline="0" collapsedLevelsAreSubtotals="1" fieldPosition="0"/>
    </format>
    <format dxfId="1090">
      <pivotArea dataOnly="0" labelOnly="1" outline="0" fieldPosition="0">
        <references count="1">
          <reference field="4294967294" count="5">
            <x v="0"/>
            <x v="1"/>
            <x v="2"/>
            <x v="3"/>
            <x v="4"/>
          </reference>
        </references>
      </pivotArea>
    </format>
    <format dxfId="1091">
      <pivotArea type="all" dataOnly="0" outline="0" fieldPosition="0"/>
    </format>
    <format dxfId="1092">
      <pivotArea outline="0" collapsedLevelsAreSubtotals="1" fieldPosition="0"/>
    </format>
    <format dxfId="1093">
      <pivotArea dataOnly="0" labelOnly="1" outline="0" fieldPosition="0">
        <references count="1">
          <reference field="4294967294" count="5">
            <x v="0"/>
            <x v="1"/>
            <x v="2"/>
            <x v="3"/>
            <x v="4"/>
          </reference>
        </references>
      </pivotArea>
    </format>
    <format dxfId="1094">
      <pivotArea outline="0" collapsedLevelsAreSubtotals="1" fieldPosition="0">
        <references count="1">
          <reference field="4294967294" count="1" selected="0">
            <x v="4"/>
          </reference>
        </references>
      </pivotArea>
    </format>
    <format dxfId="1095">
      <pivotArea outline="0" collapsedLevelsAreSubtotals="1" fieldPosition="0">
        <references count="1">
          <reference field="4294967294" count="1" selected="0">
            <x v="0"/>
          </reference>
        </references>
      </pivotArea>
    </format>
    <format dxfId="1096">
      <pivotArea outline="0" collapsedLevelsAreSubtotals="1" fieldPosition="0">
        <references count="1">
          <reference field="4294967294" count="1" selected="0">
            <x v="2"/>
          </reference>
        </references>
      </pivotArea>
    </format>
    <format dxfId="1097">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chartFormat="1">
  <location ref="A42:B54" firstHeaderRow="1" firstDataRow="1" firstDataCol="1"/>
  <pivotFields count="6">
    <pivotField axis="axisRow" compact="0" outline="0" showAll="0" defaultSubtotal="0">
      <items count="11">
        <item x="0"/>
        <item x="1"/>
        <item x="7"/>
        <item x="2"/>
        <item x="3"/>
        <item x="4"/>
        <item x="5"/>
        <item x="6"/>
        <item x="8"/>
        <item x="9"/>
        <item x="10"/>
      </items>
    </pivotField>
    <pivotField compact="0" outline="0" showAll="0" defaultSubtotal="0">
      <items count="10">
        <item x="0"/>
        <item x="1"/>
        <item x="2"/>
        <item x="3"/>
        <item x="4"/>
        <item x="5"/>
        <item x="6"/>
        <item x="7"/>
        <item x="8"/>
        <item x="9"/>
      </items>
    </pivotField>
    <pivotField compact="0" outline="0" showAll="0" defaultSubtotal="0">
      <items count="27">
        <item x="24"/>
        <item x="6"/>
        <item x="17"/>
        <item x="14"/>
        <item x="19"/>
        <item x="8"/>
        <item x="21"/>
        <item x="0"/>
        <item x="15"/>
        <item x="20"/>
        <item x="12"/>
        <item x="10"/>
        <item x="16"/>
        <item x="9"/>
        <item x="22"/>
        <item x="11"/>
        <item x="4"/>
        <item x="25"/>
        <item x="26"/>
        <item x="13"/>
        <item x="5"/>
        <item x="7"/>
        <item x="23"/>
        <item x="1"/>
        <item x="2"/>
        <item x="18"/>
        <item x="3"/>
      </items>
    </pivotField>
    <pivotField dataField="1" compact="0" outline="0" showAll="0" defaultSubtotal="0">
      <items count="109">
        <item x="78"/>
        <item x="77"/>
        <item x="76"/>
        <item x="19"/>
        <item x="29"/>
        <item x="28"/>
        <item x="18"/>
        <item x="27"/>
        <item x="17"/>
        <item x="16"/>
        <item x="75"/>
        <item x="74"/>
        <item x="15"/>
        <item x="26"/>
        <item x="14"/>
        <item x="25"/>
        <item x="73"/>
        <item x="24"/>
        <item x="72"/>
        <item x="39"/>
        <item x="38"/>
        <item x="13"/>
        <item x="23"/>
        <item x="12"/>
        <item x="37"/>
        <item x="71"/>
        <item x="9"/>
        <item x="8"/>
        <item x="11"/>
        <item x="7"/>
        <item x="36"/>
        <item x="22"/>
        <item x="6"/>
        <item x="21"/>
        <item x="49"/>
        <item x="5"/>
        <item x="48"/>
        <item x="70"/>
        <item x="20"/>
        <item x="35"/>
        <item x="59"/>
        <item x="4"/>
        <item x="47"/>
        <item x="10"/>
        <item x="3"/>
        <item x="34"/>
        <item x="33"/>
        <item x="2"/>
        <item x="46"/>
        <item x="58"/>
        <item x="69"/>
        <item x="1"/>
        <item x="57"/>
        <item x="68"/>
        <item x="45"/>
        <item x="0"/>
        <item x="44"/>
        <item x="56"/>
        <item x="67"/>
        <item x="55"/>
        <item x="43"/>
        <item x="88"/>
        <item x="32"/>
        <item x="31"/>
        <item x="87"/>
        <item x="66"/>
        <item x="42"/>
        <item x="65"/>
        <item x="54"/>
        <item x="41"/>
        <item x="64"/>
        <item x="53"/>
        <item x="52"/>
        <item x="86"/>
        <item x="30"/>
        <item x="51"/>
        <item x="85"/>
        <item x="84"/>
        <item x="83"/>
        <item x="63"/>
        <item x="82"/>
        <item x="62"/>
        <item x="40"/>
        <item x="61"/>
        <item x="50"/>
        <item x="60"/>
        <item x="98"/>
        <item x="97"/>
        <item x="108"/>
        <item x="107"/>
        <item x="96"/>
        <item x="95"/>
        <item x="81"/>
        <item x="80"/>
        <item x="106"/>
        <item x="79"/>
        <item x="94"/>
        <item x="105"/>
        <item x="93"/>
        <item x="92"/>
        <item x="104"/>
        <item x="103"/>
        <item x="102"/>
        <item x="91"/>
        <item x="101"/>
        <item x="90"/>
        <item x="89"/>
        <item x="100"/>
        <item x="99"/>
      </items>
    </pivotField>
    <pivotField compact="0" outline="0" showAll="0" defaultSubtotal="0"/>
    <pivotField compact="0" numFmtId="10" outline="0" showAll="0" defaultSubtotal="0"/>
  </pivotFields>
  <rowFields count="1">
    <field x="0"/>
  </rowFields>
  <rowItems count="12">
    <i>
      <x/>
    </i>
    <i>
      <x v="1"/>
    </i>
    <i>
      <x v="2"/>
    </i>
    <i>
      <x v="3"/>
    </i>
    <i>
      <x v="4"/>
    </i>
    <i>
      <x v="5"/>
    </i>
    <i>
      <x v="6"/>
    </i>
    <i>
      <x v="7"/>
    </i>
    <i>
      <x v="8"/>
    </i>
    <i>
      <x v="9"/>
    </i>
    <i>
      <x v="10"/>
    </i>
    <i t="grand">
      <x/>
    </i>
  </rowItems>
  <colItems count="1">
    <i/>
  </colItems>
  <dataFields count="1">
    <dataField name="Sum of Deaths" fld="3" baseField="0" baseItem="0"/>
  </dataFields>
  <formats count="4">
    <format dxfId="1102">
      <pivotArea type="all" dataOnly="0" outline="0" fieldPosition="0"/>
    </format>
    <format dxfId="1103">
      <pivotArea outline="0" collapsedLevelsAreSubtotals="1" fieldPosition="0"/>
    </format>
    <format dxfId="1104">
      <pivotArea type="all" dataOnly="0" outline="0" fieldPosition="0"/>
    </format>
    <format dxfId="110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ank" sourceName="Rank">
  <pivotTables>
    <pivotTable tabId="4" name="PivotTable1"/>
    <pivotTable tabId="4" name="PivotTable3"/>
    <pivotTable tabId="4" name="PivotTable5"/>
  </pivotTables>
  <data>
    <tabular pivotCacheId="1">
      <items count="10">
        <i x="0" s="1"/>
        <i x="1" s="1"/>
        <i x="2" s="1"/>
        <i x="3" s="1"/>
        <i x="4" s="1"/>
        <i x="5" s="1"/>
        <i x="6" s="1"/>
        <i x="7" s="1"/>
        <i x="8" s="1"/>
        <i x="9"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ank" cache="Slicer_Rank" caption="Rank"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showGridLines="0" tabSelected="1" zoomScaleNormal="100" workbookViewId="0">
      <selection activeCell="K4" sqref="K4"/>
    </sheetView>
  </sheetViews>
  <sheetFormatPr defaultRowHeight="15" x14ac:dyDescent="0.25"/>
  <cols>
    <col min="1" max="1" width="2.28515625" style="16" customWidth="1"/>
    <col min="2" max="2" width="54.28515625" style="16" customWidth="1"/>
    <col min="3" max="3" width="1.85546875" style="17" customWidth="1"/>
    <col min="4" max="4" width="47.85546875" style="17" customWidth="1"/>
    <col min="5" max="5" width="12" style="17" customWidth="1"/>
    <col min="6" max="6" width="1.140625" style="17" customWidth="1"/>
    <col min="7" max="7" width="30.85546875" style="17" bestFit="1" customWidth="1"/>
    <col min="8" max="8" width="26.28515625" style="17" bestFit="1" customWidth="1"/>
    <col min="9" max="9" width="16.28515625" style="17" bestFit="1" customWidth="1"/>
    <col min="10" max="16384" width="9.140625" style="17"/>
  </cols>
  <sheetData>
    <row r="1" spans="2:9" ht="8.25" customHeight="1" x14ac:dyDescent="0.25"/>
    <row r="4" spans="2:9" ht="9" customHeight="1" x14ac:dyDescent="0.25"/>
    <row r="5" spans="2:9" ht="15" customHeight="1" x14ac:dyDescent="0.25">
      <c r="D5" s="27" t="s">
        <v>87</v>
      </c>
      <c r="E5" s="27"/>
    </row>
    <row r="6" spans="2:9" ht="15" customHeight="1" x14ac:dyDescent="0.25">
      <c r="B6" s="28"/>
    </row>
    <row r="7" spans="2:9" ht="15" customHeight="1" x14ac:dyDescent="0.25">
      <c r="B7" s="28"/>
    </row>
    <row r="8" spans="2:9" ht="15" customHeight="1" x14ac:dyDescent="0.25">
      <c r="B8" s="28" t="s">
        <v>83</v>
      </c>
      <c r="G8" s="20" t="s">
        <v>81</v>
      </c>
      <c r="H8" s="20" t="s">
        <v>76</v>
      </c>
      <c r="I8" s="20" t="s">
        <v>77</v>
      </c>
    </row>
    <row r="9" spans="2:9" ht="15" customHeight="1" x14ac:dyDescent="0.25">
      <c r="B9" s="28" t="s">
        <v>84</v>
      </c>
      <c r="D9" s="19" t="s">
        <v>79</v>
      </c>
      <c r="E9" s="18"/>
      <c r="F9" s="18"/>
      <c r="G9" s="26" t="str">
        <f>Analyze!A20</f>
        <v>Heart Disease</v>
      </c>
      <c r="H9" s="25">
        <f>Analyze!B20</f>
        <v>153.61999999999998</v>
      </c>
      <c r="I9" s="18">
        <f>Analyze!C20</f>
        <v>0.13340000000000002</v>
      </c>
    </row>
    <row r="10" spans="2:9" ht="15" customHeight="1" x14ac:dyDescent="0.25">
      <c r="B10" s="28" t="s">
        <v>85</v>
      </c>
      <c r="D10" s="19"/>
      <c r="E10" s="18"/>
      <c r="F10" s="18"/>
      <c r="G10" s="26" t="str">
        <f>Analyze!A25</f>
        <v>Malignant Neoplasms</v>
      </c>
      <c r="H10" s="25">
        <f>Analyze!B25</f>
        <v>135.89000000000001</v>
      </c>
      <c r="I10" s="18">
        <f>Analyze!C25</f>
        <v>0.16030000000000003</v>
      </c>
    </row>
    <row r="11" spans="2:9" ht="15" customHeight="1" x14ac:dyDescent="0.25">
      <c r="B11" s="28" t="s">
        <v>86</v>
      </c>
      <c r="D11" s="19"/>
      <c r="E11" s="18"/>
      <c r="F11" s="18"/>
      <c r="G11" s="26" t="str">
        <f>Analyze!A10</f>
        <v>Alzheimer's Disease</v>
      </c>
      <c r="H11" s="25">
        <f>Analyze!B10</f>
        <v>123.55</v>
      </c>
      <c r="I11" s="18">
        <f>Analyze!C10</f>
        <v>5.45E-2</v>
      </c>
    </row>
    <row r="12" spans="2:9" ht="15" customHeight="1" x14ac:dyDescent="0.25">
      <c r="B12" s="28" t="s">
        <v>45</v>
      </c>
      <c r="D12" s="19"/>
      <c r="E12" s="18"/>
      <c r="F12" s="18"/>
      <c r="G12" s="26" t="str">
        <f>Analyze!A18</f>
        <v>Covid-19</v>
      </c>
      <c r="H12" s="25">
        <f>Analyze!B18</f>
        <v>94.9</v>
      </c>
      <c r="I12" s="18">
        <f>Analyze!C18</f>
        <v>0.10839999999999998</v>
      </c>
    </row>
    <row r="13" spans="2:9" x14ac:dyDescent="0.25">
      <c r="B13" s="28" t="s">
        <v>46</v>
      </c>
      <c r="D13" s="19"/>
      <c r="E13" s="18"/>
      <c r="F13" s="18"/>
      <c r="G13" s="26" t="str">
        <f>Analyze!A33</f>
        <v>Short Gestation</v>
      </c>
      <c r="H13" s="25">
        <f>Analyze!B33</f>
        <v>82.6</v>
      </c>
      <c r="I13" s="18">
        <f>Analyze!C33</f>
        <v>0.223</v>
      </c>
    </row>
    <row r="14" spans="2:9" x14ac:dyDescent="0.25">
      <c r="B14" s="28" t="s">
        <v>47</v>
      </c>
      <c r="D14" s="19"/>
      <c r="E14" s="18"/>
      <c r="F14" s="18"/>
      <c r="G14" s="26" t="str">
        <f>Analyze!A28</f>
        <v>Parkinson's Disease</v>
      </c>
      <c r="H14" s="25">
        <f>Analyze!B28</f>
        <v>67.3</v>
      </c>
      <c r="I14" s="18">
        <f>Analyze!C28</f>
        <v>0.02</v>
      </c>
    </row>
    <row r="15" spans="2:9" x14ac:dyDescent="0.25">
      <c r="B15" s="28" t="s">
        <v>48</v>
      </c>
      <c r="D15" s="19"/>
      <c r="E15" s="18"/>
      <c r="F15" s="18"/>
      <c r="G15" s="26" t="str">
        <f>Analyze!A36</f>
        <v>Unintentional Injury</v>
      </c>
      <c r="H15" s="25">
        <f>Analyze!B36</f>
        <v>54.245454545454542</v>
      </c>
      <c r="I15" s="18">
        <f>Analyze!C36</f>
        <v>0.2805454545454546</v>
      </c>
    </row>
    <row r="16" spans="2:9" x14ac:dyDescent="0.25">
      <c r="B16" s="28"/>
      <c r="D16" s="19"/>
      <c r="E16" s="18"/>
      <c r="F16" s="18"/>
      <c r="G16" s="26" t="str">
        <f>Analyze!A14</f>
        <v>Chronic Low. Respiratory Disease</v>
      </c>
      <c r="H16" s="25">
        <f>Analyze!B14</f>
        <v>51.25</v>
      </c>
      <c r="I16" s="18">
        <f>Analyze!C14</f>
        <v>3.8166666666666661E-2</v>
      </c>
    </row>
    <row r="17" spans="2:9" x14ac:dyDescent="0.25">
      <c r="D17" s="19"/>
      <c r="E17" s="18"/>
      <c r="F17" s="18"/>
      <c r="G17" s="26" t="str">
        <f>Analyze!A27</f>
        <v>Nephritis</v>
      </c>
      <c r="H17" s="25">
        <f>Analyze!B27</f>
        <v>47.599999999999994</v>
      </c>
      <c r="I17" s="18">
        <f>Analyze!C27</f>
        <v>2.1999999999999999E-2</v>
      </c>
    </row>
    <row r="18" spans="2:9" x14ac:dyDescent="0.25">
      <c r="B18" s="20" t="s">
        <v>82</v>
      </c>
      <c r="D18" s="19"/>
      <c r="E18" s="18"/>
      <c r="F18" s="18"/>
      <c r="G18" s="26" t="str">
        <f>Analyze!A34</f>
        <v>Sids</v>
      </c>
      <c r="H18" s="25">
        <f>Analyze!B34</f>
        <v>40.9</v>
      </c>
      <c r="I18" s="18">
        <f>Analyze!C34</f>
        <v>0.111</v>
      </c>
    </row>
    <row r="19" spans="2:9" x14ac:dyDescent="0.25">
      <c r="D19" s="19"/>
      <c r="E19" s="18"/>
      <c r="F19" s="18"/>
      <c r="G19" s="26" t="str">
        <f>Analyze!A13</f>
        <v>Cerebrovascular</v>
      </c>
      <c r="H19" s="25">
        <f>Analyze!B13</f>
        <v>35.440000000000005</v>
      </c>
      <c r="I19" s="18">
        <f>Analyze!C13</f>
        <v>3.04E-2</v>
      </c>
    </row>
    <row r="20" spans="2:9" x14ac:dyDescent="0.25">
      <c r="D20" s="19"/>
      <c r="E20" s="18"/>
      <c r="F20" s="18"/>
      <c r="G20" s="26" t="str">
        <f>Analyze!A26</f>
        <v>Maternal Pregnancy Comp.</v>
      </c>
      <c r="H20" s="25">
        <f>Analyze!B26</f>
        <v>31.2</v>
      </c>
      <c r="I20" s="18">
        <f>Analyze!C26</f>
        <v>8.4000000000000005E-2</v>
      </c>
    </row>
    <row r="21" spans="2:9" x14ac:dyDescent="0.25">
      <c r="D21" s="19"/>
      <c r="E21" s="18"/>
      <c r="F21" s="18"/>
      <c r="G21" s="26" t="str">
        <f>Analyze!A19</f>
        <v>Diabetes Mellitus</v>
      </c>
      <c r="H21" s="25">
        <f>Analyze!B19</f>
        <v>29.2</v>
      </c>
      <c r="I21" s="18">
        <f>Analyze!C19</f>
        <v>3.0249999999999999E-2</v>
      </c>
    </row>
    <row r="22" spans="2:9" x14ac:dyDescent="0.25">
      <c r="D22" s="19"/>
      <c r="E22" s="18"/>
      <c r="F22" s="18"/>
      <c r="G22" s="26" t="str">
        <f>Analyze!A17</f>
        <v>Congenital Anomalies</v>
      </c>
      <c r="H22" s="25">
        <f>Analyze!B17</f>
        <v>23.3</v>
      </c>
      <c r="I22" s="18">
        <f>Analyze!C17</f>
        <v>0.125</v>
      </c>
    </row>
    <row r="23" spans="2:9" x14ac:dyDescent="0.25">
      <c r="D23" s="19"/>
      <c r="E23" s="18"/>
      <c r="F23" s="18"/>
      <c r="G23" s="26" t="str">
        <f>Analyze!A24</f>
        <v>Liver Disease</v>
      </c>
      <c r="H23" s="25">
        <f>Analyze!B24</f>
        <v>20.3</v>
      </c>
      <c r="I23" s="18">
        <f>Analyze!C24</f>
        <v>4.24E-2</v>
      </c>
    </row>
    <row r="24" spans="2:9" x14ac:dyDescent="0.25">
      <c r="D24" s="19"/>
      <c r="E24" s="18"/>
      <c r="F24" s="18"/>
      <c r="G24" s="26" t="str">
        <f>Analyze!A30</f>
        <v>Placenta  Cord Membranes</v>
      </c>
      <c r="H24" s="25">
        <f>Analyze!B30</f>
        <v>18.899999999999999</v>
      </c>
      <c r="I24" s="18">
        <f>Analyze!C30</f>
        <v>5.0999999999999997E-2</v>
      </c>
    </row>
    <row r="25" spans="2:9" x14ac:dyDescent="0.25">
      <c r="D25" s="19"/>
      <c r="E25" s="18"/>
      <c r="F25" s="18"/>
      <c r="G25" s="26" t="str">
        <f>Analyze!A11</f>
        <v>Bacterial Sepsis</v>
      </c>
      <c r="H25" s="25">
        <f>Analyze!B11</f>
        <v>15.6</v>
      </c>
      <c r="I25" s="18">
        <f>Analyze!C11</f>
        <v>4.2000000000000003E-2</v>
      </c>
    </row>
    <row r="26" spans="2:9" x14ac:dyDescent="0.25">
      <c r="D26" s="19"/>
      <c r="E26" s="18"/>
      <c r="F26" s="18"/>
      <c r="G26" s="26" t="str">
        <f>Analyze!A35</f>
        <v>Suicide</v>
      </c>
      <c r="H26" s="25">
        <f>Analyze!B35</f>
        <v>15.133333333333333</v>
      </c>
      <c r="I26" s="18">
        <f>Analyze!C35</f>
        <v>0.11266666666666668</v>
      </c>
    </row>
    <row r="27" spans="2:9" x14ac:dyDescent="0.25">
      <c r="D27" s="19"/>
      <c r="E27" s="18"/>
      <c r="F27" s="18"/>
      <c r="G27" s="26" t="str">
        <f>Analyze!A31</f>
        <v>Respiratory Distress</v>
      </c>
      <c r="H27" s="25">
        <f>Analyze!B31</f>
        <v>11.6</v>
      </c>
      <c r="I27" s="18">
        <f>Analyze!C31</f>
        <v>3.1E-2</v>
      </c>
    </row>
    <row r="28" spans="2:9" x14ac:dyDescent="0.25">
      <c r="D28" s="19"/>
      <c r="E28" s="18"/>
      <c r="F28" s="18"/>
      <c r="G28" s="26" t="str">
        <f>Analyze!A15</f>
        <v>Circulatory System Disease</v>
      </c>
      <c r="H28" s="25">
        <f>Analyze!B15</f>
        <v>11.3</v>
      </c>
      <c r="I28" s="18">
        <f>Analyze!C15</f>
        <v>0.03</v>
      </c>
    </row>
    <row r="29" spans="2:9" x14ac:dyDescent="0.25">
      <c r="D29" s="19"/>
      <c r="E29" s="18"/>
      <c r="F29" s="18"/>
      <c r="G29" s="26" t="str">
        <f>Analyze!A23</f>
        <v>Intrauterine Hypoxia</v>
      </c>
      <c r="H29" s="25">
        <f>Analyze!B23</f>
        <v>10</v>
      </c>
      <c r="I29" s="18">
        <f>Analyze!C23</f>
        <v>2.7E-2</v>
      </c>
    </row>
    <row r="30" spans="2:9" x14ac:dyDescent="0.25">
      <c r="D30" s="19"/>
      <c r="E30" s="18"/>
      <c r="F30" s="18"/>
      <c r="G30" s="26" t="str">
        <f>Analyze!A21</f>
        <v>Homicide</v>
      </c>
      <c r="H30" s="25">
        <f>Analyze!B21</f>
        <v>7.757142857142858</v>
      </c>
      <c r="I30" s="18">
        <f>Analyze!C21</f>
        <v>9.9285714285714297E-2</v>
      </c>
    </row>
    <row r="31" spans="2:9" x14ac:dyDescent="0.25">
      <c r="D31" s="19"/>
      <c r="E31" s="18"/>
      <c r="F31" s="18"/>
      <c r="G31" s="26" t="str">
        <f>Analyze!A32</f>
        <v>Septicemia</v>
      </c>
      <c r="H31" s="25">
        <f>Analyze!B32</f>
        <v>5.9333333333333336</v>
      </c>
      <c r="I31" s="18">
        <f>Analyze!C32</f>
        <v>1.4666666666666666E-2</v>
      </c>
    </row>
    <row r="32" spans="2:9" x14ac:dyDescent="0.25">
      <c r="D32" s="19"/>
      <c r="E32" s="18"/>
      <c r="F32" s="18"/>
      <c r="G32" s="26" t="str">
        <f>Analyze!A16</f>
        <v>Complicated Pregnancy</v>
      </c>
      <c r="H32" s="25">
        <f>Analyze!B16</f>
        <v>1.1499999999999999</v>
      </c>
      <c r="I32" s="18">
        <f>Analyze!C16</f>
        <v>8.5000000000000006E-3</v>
      </c>
    </row>
    <row r="33" spans="4:9" x14ac:dyDescent="0.25">
      <c r="D33" s="19"/>
      <c r="E33" s="18"/>
      <c r="F33" s="18"/>
      <c r="G33" s="26" t="str">
        <f>Analyze!A29</f>
        <v>Perinatal Period</v>
      </c>
      <c r="H33" s="25">
        <f>Analyze!B29</f>
        <v>0.4</v>
      </c>
      <c r="I33" s="18">
        <f>Analyze!C29</f>
        <v>2.5000000000000001E-2</v>
      </c>
    </row>
    <row r="34" spans="4:9" x14ac:dyDescent="0.25">
      <c r="D34" s="19"/>
      <c r="E34" s="18"/>
      <c r="F34" s="18"/>
      <c r="G34" s="26" t="str">
        <f>Analyze!A22</f>
        <v>Influenza &amp; Pneumonia</v>
      </c>
      <c r="H34" s="25">
        <f>Analyze!B22</f>
        <v>0.2</v>
      </c>
      <c r="I34" s="18">
        <f>Analyze!C22</f>
        <v>1.6500000000000001E-2</v>
      </c>
    </row>
    <row r="35" spans="4:9" x14ac:dyDescent="0.25">
      <c r="D35" s="19"/>
      <c r="E35" s="18"/>
      <c r="F35" s="18"/>
      <c r="G35" s="26" t="str">
        <f>Analyze!A12</f>
        <v>Benign Neoplasms</v>
      </c>
      <c r="H35" s="25">
        <f>Analyze!B12</f>
        <v>0.2</v>
      </c>
      <c r="I35" s="18">
        <f>Analyze!C12</f>
        <v>1.4E-2</v>
      </c>
    </row>
    <row r="36" spans="4:9" x14ac:dyDescent="0.25">
      <c r="D36" s="19"/>
      <c r="E36" s="18"/>
      <c r="F36" s="18"/>
      <c r="G36" s="18"/>
    </row>
    <row r="37" spans="4:9" x14ac:dyDescent="0.25">
      <c r="G37" s="25"/>
    </row>
    <row r="38" spans="4:9" x14ac:dyDescent="0.25">
      <c r="G38" s="25"/>
    </row>
    <row r="39" spans="4:9" x14ac:dyDescent="0.25">
      <c r="G39" s="25"/>
    </row>
    <row r="40" spans="4:9" x14ac:dyDescent="0.25">
      <c r="G40" s="25"/>
    </row>
    <row r="41" spans="4:9" x14ac:dyDescent="0.25">
      <c r="G41" s="25"/>
    </row>
    <row r="42" spans="4:9" x14ac:dyDescent="0.25">
      <c r="G42" s="25"/>
    </row>
  </sheetData>
  <mergeCells count="1">
    <mergeCell ref="D5:E5"/>
  </mergeCells>
  <conditionalFormatting sqref="D9:D36">
    <cfRule type="dataBar" priority="4">
      <dataBar>
        <cfvo type="min"/>
        <cfvo type="max"/>
        <color rgb="FF63C384"/>
      </dataBar>
      <extLst>
        <ext xmlns:x14="http://schemas.microsoft.com/office/spreadsheetml/2009/9/main" uri="{B025F937-C7B1-47D3-B67F-A62EFF666E3E}">
          <x14:id>{CA1DF171-3D40-49AF-B33A-D356C2BCEA6A}</x14:id>
        </ext>
      </extLst>
    </cfRule>
  </conditionalFormatting>
  <conditionalFormatting sqref="E9:F36">
    <cfRule type="dataBar" priority="3">
      <dataBar>
        <cfvo type="min"/>
        <cfvo type="max"/>
        <color rgb="FF63C384"/>
      </dataBar>
      <extLst>
        <ext xmlns:x14="http://schemas.microsoft.com/office/spreadsheetml/2009/9/main" uri="{B025F937-C7B1-47D3-B67F-A62EFF666E3E}">
          <x14:id>{766EF32F-1BAD-4292-AB6F-1567C8024981}</x14:id>
        </ext>
      </extLst>
    </cfRule>
  </conditionalFormatting>
  <conditionalFormatting sqref="G9:I35 G36:G42">
    <cfRule type="dataBar" priority="2">
      <dataBar>
        <cfvo type="min"/>
        <cfvo type="max"/>
        <color rgb="FF63C384"/>
      </dataBar>
      <extLst>
        <ext xmlns:x14="http://schemas.microsoft.com/office/spreadsheetml/2009/9/main" uri="{B025F937-C7B1-47D3-B67F-A62EFF666E3E}">
          <x14:id>{08186B5A-45A3-45F3-951A-B3AEB7036BCF}</x14:id>
        </ext>
      </extLst>
    </cfRule>
  </conditionalFormatting>
  <conditionalFormatting sqref="I9:I35 G36">
    <cfRule type="dataBar" priority="1">
      <dataBar>
        <cfvo type="min"/>
        <cfvo type="max"/>
        <color rgb="FF63C384"/>
      </dataBar>
      <extLst>
        <ext xmlns:x14="http://schemas.microsoft.com/office/spreadsheetml/2009/9/main" uri="{B025F937-C7B1-47D3-B67F-A62EFF666E3E}">
          <x14:id>{54293754-29DB-4C6D-90A8-6B9824B6067F}</x14:id>
        </ext>
      </extLst>
    </cfRule>
  </conditionalFormatting>
  <pageMargins left="0.7" right="0.7" top="0.75" bottom="0.75" header="0.3" footer="0.3"/>
  <pageSetup orientation="landscape" r:id="rId1"/>
  <drawing r:id="rId2"/>
  <extLst>
    <ext xmlns:x14="http://schemas.microsoft.com/office/spreadsheetml/2009/9/main" uri="{78C0D931-6437-407d-A8EE-F0AAD7539E65}">
      <x14:conditionalFormattings>
        <x14:conditionalFormatting xmlns:xm="http://schemas.microsoft.com/office/excel/2006/main">
          <x14:cfRule type="dataBar" id="{CA1DF171-3D40-49AF-B33A-D356C2BCEA6A}">
            <x14:dataBar minLength="0" maxLength="100" border="1" negativeBarBorderColorSameAsPositive="0">
              <x14:cfvo type="autoMin"/>
              <x14:cfvo type="autoMax"/>
              <x14:borderColor rgb="FF63C384"/>
              <x14:negativeFillColor rgb="FFFF0000"/>
              <x14:negativeBorderColor rgb="FFFF0000"/>
              <x14:axisColor rgb="FF000000"/>
            </x14:dataBar>
          </x14:cfRule>
          <xm:sqref>D9:D36</xm:sqref>
        </x14:conditionalFormatting>
        <x14:conditionalFormatting xmlns:xm="http://schemas.microsoft.com/office/excel/2006/main">
          <x14:cfRule type="dataBar" id="{766EF32F-1BAD-4292-AB6F-1567C8024981}">
            <x14:dataBar minLength="0" maxLength="100" border="1" negativeBarBorderColorSameAsPositive="0">
              <x14:cfvo type="autoMin"/>
              <x14:cfvo type="autoMax"/>
              <x14:borderColor rgb="FF63C384"/>
              <x14:negativeFillColor rgb="FFFF0000"/>
              <x14:negativeBorderColor rgb="FFFF0000"/>
              <x14:axisColor rgb="FF000000"/>
            </x14:dataBar>
          </x14:cfRule>
          <xm:sqref>E9:F36</xm:sqref>
        </x14:conditionalFormatting>
        <x14:conditionalFormatting xmlns:xm="http://schemas.microsoft.com/office/excel/2006/main">
          <x14:cfRule type="dataBar" id="{08186B5A-45A3-45F3-951A-B3AEB7036BCF}">
            <x14:dataBar minLength="0" maxLength="100" border="1" negativeBarBorderColorSameAsPositive="0">
              <x14:cfvo type="autoMin"/>
              <x14:cfvo type="autoMax"/>
              <x14:borderColor rgb="FF63C384"/>
              <x14:negativeFillColor rgb="FFFF0000"/>
              <x14:negativeBorderColor rgb="FFFF0000"/>
              <x14:axisColor rgb="FF000000"/>
            </x14:dataBar>
          </x14:cfRule>
          <xm:sqref>G9:I35 G36:G42</xm:sqref>
        </x14:conditionalFormatting>
        <x14:conditionalFormatting xmlns:xm="http://schemas.microsoft.com/office/excel/2006/main">
          <x14:cfRule type="dataBar" id="{54293754-29DB-4C6D-90A8-6B9824B6067F}">
            <x14:dataBar minLength="0" maxLength="100" border="1" negativeBarBorderColorSameAsPositive="0">
              <x14:cfvo type="autoMin"/>
              <x14:cfvo type="autoMax"/>
              <x14:borderColor rgb="FF63C384"/>
              <x14:negativeFillColor rgb="FFFF0000"/>
              <x14:negativeBorderColor rgb="FFFF0000"/>
              <x14:axisColor rgb="FF000000"/>
            </x14:dataBar>
          </x14:cfRule>
          <xm:sqref>I9:I35 G36</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54"/>
  <sheetViews>
    <sheetView workbookViewId="0">
      <selection activeCell="C4" sqref="C4"/>
    </sheetView>
  </sheetViews>
  <sheetFormatPr defaultRowHeight="15" x14ac:dyDescent="0.25"/>
  <cols>
    <col min="1" max="1" width="15" customWidth="1"/>
    <col min="2" max="2" width="13.85546875" customWidth="1"/>
    <col min="3" max="3" width="21.42578125" customWidth="1"/>
    <col min="4" max="4" width="13.85546875" customWidth="1"/>
    <col min="5" max="5" width="21.42578125" customWidth="1"/>
    <col min="6" max="6" width="17.85546875" bestFit="1" customWidth="1"/>
    <col min="8" max="8" width="15.42578125" customWidth="1"/>
    <col min="9" max="9" width="13.85546875" customWidth="1"/>
  </cols>
  <sheetData>
    <row r="3" spans="1:8" x14ac:dyDescent="0.25">
      <c r="A3" s="13" t="s">
        <v>68</v>
      </c>
      <c r="B3" s="13" t="s">
        <v>69</v>
      </c>
      <c r="C3" s="13" t="s">
        <v>70</v>
      </c>
      <c r="D3" s="13" t="s">
        <v>75</v>
      </c>
      <c r="E3" s="13" t="s">
        <v>78</v>
      </c>
    </row>
    <row r="4" spans="1:8" x14ac:dyDescent="0.25">
      <c r="A4" s="23">
        <v>695547</v>
      </c>
      <c r="B4" s="14">
        <v>27</v>
      </c>
      <c r="C4" s="23">
        <v>47718.663636363635</v>
      </c>
      <c r="D4" s="22">
        <v>57.747272727272737</v>
      </c>
      <c r="E4" s="21">
        <v>9.9954545454545463E-2</v>
      </c>
    </row>
    <row r="7" spans="1:8" x14ac:dyDescent="0.25">
      <c r="A7" s="12"/>
      <c r="B7" s="12"/>
      <c r="C7" s="12"/>
    </row>
    <row r="9" spans="1:8" x14ac:dyDescent="0.25">
      <c r="A9" s="15" t="s">
        <v>72</v>
      </c>
      <c r="B9" s="13" t="s">
        <v>75</v>
      </c>
      <c r="C9" s="13" t="s">
        <v>78</v>
      </c>
      <c r="D9" s="13" t="s">
        <v>74</v>
      </c>
    </row>
    <row r="10" spans="1:8" x14ac:dyDescent="0.25">
      <c r="A10" s="13" t="s">
        <v>37</v>
      </c>
      <c r="B10" s="14">
        <v>123.55</v>
      </c>
      <c r="C10" s="14">
        <v>5.45E-2</v>
      </c>
      <c r="D10" s="14">
        <v>237321</v>
      </c>
      <c r="E10" t="str">
        <f>A10</f>
        <v>Alzheimer's Disease</v>
      </c>
      <c r="F10">
        <f t="shared" ref="F10:H25" si="0">B10</f>
        <v>123.55</v>
      </c>
      <c r="G10">
        <f t="shared" si="0"/>
        <v>5.45E-2</v>
      </c>
      <c r="H10" s="1">
        <f t="shared" si="0"/>
        <v>237321</v>
      </c>
    </row>
    <row r="11" spans="1:8" x14ac:dyDescent="0.25">
      <c r="A11" s="13" t="s">
        <v>13</v>
      </c>
      <c r="B11" s="14">
        <v>15.6</v>
      </c>
      <c r="C11" s="14">
        <v>4.2000000000000003E-2</v>
      </c>
      <c r="D11" s="14">
        <v>557</v>
      </c>
      <c r="E11" t="str">
        <f t="shared" ref="E11:E36" si="1">A11</f>
        <v>Bacterial Sepsis</v>
      </c>
      <c r="F11">
        <f t="shared" si="0"/>
        <v>15.6</v>
      </c>
      <c r="G11">
        <f t="shared" si="0"/>
        <v>4.2000000000000003E-2</v>
      </c>
      <c r="H11" s="1">
        <f t="shared" si="0"/>
        <v>557</v>
      </c>
    </row>
    <row r="12" spans="1:8" x14ac:dyDescent="0.25">
      <c r="A12" s="13" t="s">
        <v>24</v>
      </c>
      <c r="B12" s="14">
        <v>0.2</v>
      </c>
      <c r="C12" s="14">
        <v>1.4E-2</v>
      </c>
      <c r="D12" s="14">
        <v>37</v>
      </c>
      <c r="E12" t="str">
        <f t="shared" si="1"/>
        <v>Benign Neoplasms</v>
      </c>
      <c r="F12">
        <f t="shared" si="0"/>
        <v>0.2</v>
      </c>
      <c r="G12">
        <f t="shared" si="0"/>
        <v>1.4E-2</v>
      </c>
      <c r="H12" s="1">
        <f t="shared" si="0"/>
        <v>37</v>
      </c>
    </row>
    <row r="13" spans="1:8" x14ac:dyDescent="0.25">
      <c r="A13" s="13" t="s">
        <v>21</v>
      </c>
      <c r="B13" s="14">
        <v>35.440000000000005</v>
      </c>
      <c r="C13" s="14">
        <v>3.04E-2</v>
      </c>
      <c r="D13" s="14">
        <v>325682</v>
      </c>
      <c r="E13" t="str">
        <f t="shared" si="1"/>
        <v>Cerebrovascular</v>
      </c>
      <c r="F13">
        <f t="shared" si="0"/>
        <v>35.440000000000005</v>
      </c>
      <c r="G13">
        <f t="shared" si="0"/>
        <v>3.04E-2</v>
      </c>
      <c r="H13" s="1">
        <f t="shared" si="0"/>
        <v>325682</v>
      </c>
    </row>
    <row r="14" spans="1:8" x14ac:dyDescent="0.25">
      <c r="A14" s="13" t="s">
        <v>26</v>
      </c>
      <c r="B14" s="14">
        <v>51.25</v>
      </c>
      <c r="C14" s="14">
        <v>3.8166666666666661E-2</v>
      </c>
      <c r="D14" s="14">
        <v>283387</v>
      </c>
      <c r="E14" t="str">
        <f t="shared" si="1"/>
        <v>Chronic Low. Respiratory Disease</v>
      </c>
      <c r="F14">
        <f t="shared" si="0"/>
        <v>51.25</v>
      </c>
      <c r="G14">
        <f t="shared" si="0"/>
        <v>3.8166666666666661E-2</v>
      </c>
      <c r="H14" s="1">
        <f t="shared" si="0"/>
        <v>283387</v>
      </c>
    </row>
    <row r="15" spans="1:8" x14ac:dyDescent="0.25">
      <c r="A15" s="13" t="s">
        <v>15</v>
      </c>
      <c r="B15" s="14">
        <v>11.3</v>
      </c>
      <c r="C15" s="14">
        <v>0.03</v>
      </c>
      <c r="D15" s="14">
        <v>402</v>
      </c>
      <c r="E15" t="str">
        <f t="shared" si="1"/>
        <v>Circulatory System Disease</v>
      </c>
      <c r="F15">
        <f t="shared" si="0"/>
        <v>11.3</v>
      </c>
      <c r="G15">
        <f t="shared" si="0"/>
        <v>0.03</v>
      </c>
      <c r="H15" s="1">
        <f t="shared" si="0"/>
        <v>402</v>
      </c>
    </row>
    <row r="16" spans="1:8" x14ac:dyDescent="0.25">
      <c r="A16" s="13" t="s">
        <v>29</v>
      </c>
      <c r="B16" s="14">
        <v>1.1499999999999999</v>
      </c>
      <c r="C16" s="14">
        <v>8.5000000000000006E-3</v>
      </c>
      <c r="D16" s="14">
        <v>1011</v>
      </c>
      <c r="E16" t="str">
        <f t="shared" si="1"/>
        <v>Complicated Pregnancy</v>
      </c>
      <c r="F16">
        <f t="shared" si="0"/>
        <v>1.1499999999999999</v>
      </c>
      <c r="G16">
        <f t="shared" si="0"/>
        <v>8.5000000000000006E-3</v>
      </c>
      <c r="H16" s="1">
        <f t="shared" si="0"/>
        <v>1011</v>
      </c>
    </row>
    <row r="17" spans="1:8" x14ac:dyDescent="0.25">
      <c r="A17" s="13" t="s">
        <v>7</v>
      </c>
      <c r="B17" s="14">
        <v>23.3</v>
      </c>
      <c r="C17" s="14">
        <v>0.125</v>
      </c>
      <c r="D17" s="14">
        <v>5144</v>
      </c>
      <c r="E17" t="str">
        <f t="shared" si="1"/>
        <v>Congenital Anomalies</v>
      </c>
      <c r="F17">
        <f t="shared" si="0"/>
        <v>23.3</v>
      </c>
      <c r="G17">
        <f t="shared" si="0"/>
        <v>0.125</v>
      </c>
      <c r="H17" s="1">
        <f t="shared" si="0"/>
        <v>5144</v>
      </c>
    </row>
    <row r="18" spans="1:8" x14ac:dyDescent="0.25">
      <c r="A18" s="13" t="s">
        <v>22</v>
      </c>
      <c r="B18" s="14">
        <v>94.9</v>
      </c>
      <c r="C18" s="14">
        <v>0.10839999999999998</v>
      </c>
      <c r="D18" s="14">
        <v>833692</v>
      </c>
      <c r="E18" t="str">
        <f t="shared" si="1"/>
        <v>Covid-19</v>
      </c>
      <c r="F18">
        <f t="shared" si="0"/>
        <v>94.9</v>
      </c>
      <c r="G18">
        <f t="shared" si="0"/>
        <v>0.10839999999999998</v>
      </c>
      <c r="H18" s="1">
        <f t="shared" si="0"/>
        <v>833692</v>
      </c>
    </row>
    <row r="19" spans="1:8" x14ac:dyDescent="0.25">
      <c r="A19" s="13" t="s">
        <v>27</v>
      </c>
      <c r="B19" s="14">
        <v>29.2</v>
      </c>
      <c r="C19" s="14">
        <v>3.0249999999999999E-2</v>
      </c>
      <c r="D19" s="14">
        <v>206575</v>
      </c>
      <c r="E19" t="str">
        <f t="shared" si="1"/>
        <v>Diabetes Mellitus</v>
      </c>
      <c r="F19">
        <f t="shared" si="0"/>
        <v>29.2</v>
      </c>
      <c r="G19">
        <f t="shared" si="0"/>
        <v>3.0249999999999999E-2</v>
      </c>
      <c r="H19" s="1">
        <f t="shared" si="0"/>
        <v>206575</v>
      </c>
    </row>
    <row r="20" spans="1:8" x14ac:dyDescent="0.25">
      <c r="A20" s="13" t="s">
        <v>19</v>
      </c>
      <c r="B20" s="14">
        <v>153.61999999999998</v>
      </c>
      <c r="C20" s="14">
        <v>0.13340000000000002</v>
      </c>
      <c r="D20" s="14">
        <v>1390805</v>
      </c>
      <c r="E20" t="str">
        <f t="shared" si="1"/>
        <v>Heart Disease</v>
      </c>
      <c r="F20">
        <f t="shared" si="0"/>
        <v>153.61999999999998</v>
      </c>
      <c r="G20">
        <f t="shared" si="0"/>
        <v>0.13340000000000002</v>
      </c>
      <c r="H20" s="1">
        <f t="shared" si="0"/>
        <v>1390805</v>
      </c>
    </row>
    <row r="21" spans="1:8" x14ac:dyDescent="0.25">
      <c r="A21" s="13" t="s">
        <v>17</v>
      </c>
      <c r="B21" s="14">
        <v>7.757142857142858</v>
      </c>
      <c r="C21" s="14">
        <v>9.9285714285714297E-2</v>
      </c>
      <c r="D21" s="14">
        <v>22632</v>
      </c>
      <c r="E21" t="str">
        <f t="shared" si="1"/>
        <v>Homicide</v>
      </c>
      <c r="F21">
        <f t="shared" si="0"/>
        <v>7.757142857142858</v>
      </c>
      <c r="G21">
        <f t="shared" si="0"/>
        <v>9.9285714285714297E-2</v>
      </c>
      <c r="H21" s="1">
        <f t="shared" si="0"/>
        <v>22632</v>
      </c>
    </row>
    <row r="22" spans="1:8" x14ac:dyDescent="0.25">
      <c r="A22" s="13" t="s">
        <v>23</v>
      </c>
      <c r="B22" s="14">
        <v>0.2</v>
      </c>
      <c r="C22" s="14">
        <v>1.6500000000000001E-2</v>
      </c>
      <c r="D22" s="14">
        <v>74</v>
      </c>
      <c r="E22" t="str">
        <f t="shared" si="1"/>
        <v>Influenza &amp; Pneumonia</v>
      </c>
      <c r="F22">
        <f t="shared" si="0"/>
        <v>0.2</v>
      </c>
      <c r="G22">
        <f t="shared" si="0"/>
        <v>1.6500000000000001E-2</v>
      </c>
      <c r="H22" s="1">
        <f t="shared" si="0"/>
        <v>74</v>
      </c>
    </row>
    <row r="23" spans="1:8" x14ac:dyDescent="0.25">
      <c r="A23" s="13" t="s">
        <v>16</v>
      </c>
      <c r="B23" s="14">
        <v>10</v>
      </c>
      <c r="C23" s="14">
        <v>2.7E-2</v>
      </c>
      <c r="D23" s="14">
        <v>358</v>
      </c>
      <c r="E23" t="str">
        <f t="shared" si="1"/>
        <v>Intrauterine Hypoxia</v>
      </c>
      <c r="F23">
        <f t="shared" si="0"/>
        <v>10</v>
      </c>
      <c r="G23">
        <f t="shared" si="0"/>
        <v>2.7E-2</v>
      </c>
      <c r="H23" s="1">
        <f t="shared" si="0"/>
        <v>358</v>
      </c>
    </row>
    <row r="24" spans="1:8" x14ac:dyDescent="0.25">
      <c r="A24" s="13" t="s">
        <v>31</v>
      </c>
      <c r="B24" s="14">
        <v>20.3</v>
      </c>
      <c r="C24" s="14">
        <v>4.24E-2</v>
      </c>
      <c r="D24" s="14">
        <v>92416</v>
      </c>
      <c r="E24" t="str">
        <f t="shared" si="1"/>
        <v>Liver Disease</v>
      </c>
      <c r="F24">
        <f t="shared" si="0"/>
        <v>20.3</v>
      </c>
      <c r="G24">
        <f t="shared" si="0"/>
        <v>4.24E-2</v>
      </c>
      <c r="H24" s="1">
        <f t="shared" si="0"/>
        <v>92416</v>
      </c>
    </row>
    <row r="25" spans="1:8" x14ac:dyDescent="0.25">
      <c r="A25" s="13" t="s">
        <v>18</v>
      </c>
      <c r="B25" s="14">
        <v>135.89000000000001</v>
      </c>
      <c r="C25" s="14">
        <v>0.16030000000000003</v>
      </c>
      <c r="D25" s="14">
        <v>1210367</v>
      </c>
      <c r="E25" t="str">
        <f t="shared" si="1"/>
        <v>Malignant Neoplasms</v>
      </c>
      <c r="F25">
        <f t="shared" si="0"/>
        <v>135.89000000000001</v>
      </c>
      <c r="G25">
        <f t="shared" si="0"/>
        <v>0.16030000000000003</v>
      </c>
      <c r="H25" s="1">
        <f t="shared" si="0"/>
        <v>1210367</v>
      </c>
    </row>
    <row r="26" spans="1:8" x14ac:dyDescent="0.25">
      <c r="A26" s="13" t="s">
        <v>11</v>
      </c>
      <c r="B26" s="14">
        <v>31.2</v>
      </c>
      <c r="C26" s="14">
        <v>8.4000000000000005E-2</v>
      </c>
      <c r="D26" s="14">
        <v>1113</v>
      </c>
      <c r="E26" t="str">
        <f t="shared" si="1"/>
        <v>Maternal Pregnancy Comp.</v>
      </c>
      <c r="F26">
        <f t="shared" ref="F26:F36" si="2">B26</f>
        <v>31.2</v>
      </c>
      <c r="G26">
        <f t="shared" ref="G26:G36" si="3">C26</f>
        <v>8.4000000000000005E-2</v>
      </c>
      <c r="H26" s="1">
        <f t="shared" ref="H26:H36" si="4">D26</f>
        <v>1113</v>
      </c>
    </row>
    <row r="27" spans="1:8" x14ac:dyDescent="0.25">
      <c r="A27" s="13" t="s">
        <v>38</v>
      </c>
      <c r="B27" s="14">
        <v>47.599999999999994</v>
      </c>
      <c r="C27" s="14">
        <v>2.1999999999999999E-2</v>
      </c>
      <c r="D27" s="14">
        <v>98371</v>
      </c>
      <c r="E27" t="str">
        <f t="shared" si="1"/>
        <v>Nephritis</v>
      </c>
      <c r="F27">
        <f t="shared" si="2"/>
        <v>47.599999999999994</v>
      </c>
      <c r="G27">
        <f t="shared" si="3"/>
        <v>2.1999999999999999E-2</v>
      </c>
      <c r="H27" s="1">
        <f t="shared" si="4"/>
        <v>98371</v>
      </c>
    </row>
    <row r="28" spans="1:8" x14ac:dyDescent="0.25">
      <c r="A28" s="13" t="s">
        <v>39</v>
      </c>
      <c r="B28" s="14">
        <v>67.3</v>
      </c>
      <c r="C28" s="14">
        <v>0.02</v>
      </c>
      <c r="D28" s="14">
        <v>37568</v>
      </c>
      <c r="E28" t="str">
        <f t="shared" si="1"/>
        <v>Parkinson's Disease</v>
      </c>
      <c r="F28">
        <f t="shared" si="2"/>
        <v>67.3</v>
      </c>
      <c r="G28">
        <f t="shared" si="3"/>
        <v>0.02</v>
      </c>
      <c r="H28" s="1">
        <f t="shared" si="4"/>
        <v>37568</v>
      </c>
    </row>
    <row r="29" spans="1:8" x14ac:dyDescent="0.25">
      <c r="A29" s="13" t="s">
        <v>20</v>
      </c>
      <c r="B29" s="14">
        <v>0.4</v>
      </c>
      <c r="C29" s="14">
        <v>2.5000000000000001E-2</v>
      </c>
      <c r="D29" s="14">
        <v>68</v>
      </c>
      <c r="E29" t="str">
        <f t="shared" si="1"/>
        <v>Perinatal Period</v>
      </c>
      <c r="F29">
        <f t="shared" si="2"/>
        <v>0.4</v>
      </c>
      <c r="G29">
        <f t="shared" si="3"/>
        <v>2.5000000000000001E-2</v>
      </c>
      <c r="H29" s="1">
        <f t="shared" si="4"/>
        <v>68</v>
      </c>
    </row>
    <row r="30" spans="1:8" x14ac:dyDescent="0.25">
      <c r="A30" s="13" t="s">
        <v>12</v>
      </c>
      <c r="B30" s="14">
        <v>18.899999999999999</v>
      </c>
      <c r="C30" s="14">
        <v>5.0999999999999997E-2</v>
      </c>
      <c r="D30" s="14">
        <v>672</v>
      </c>
      <c r="E30" t="str">
        <f t="shared" si="1"/>
        <v>Placenta  Cord Membranes</v>
      </c>
      <c r="F30">
        <f t="shared" si="2"/>
        <v>18.899999999999999</v>
      </c>
      <c r="G30">
        <f t="shared" si="3"/>
        <v>5.0999999999999997E-2</v>
      </c>
      <c r="H30" s="1">
        <f t="shared" si="4"/>
        <v>672</v>
      </c>
    </row>
    <row r="31" spans="1:8" x14ac:dyDescent="0.25">
      <c r="A31" s="13" t="s">
        <v>14</v>
      </c>
      <c r="B31" s="14">
        <v>11.6</v>
      </c>
      <c r="C31" s="14">
        <v>3.1E-2</v>
      </c>
      <c r="D31" s="14">
        <v>414</v>
      </c>
      <c r="E31" t="str">
        <f t="shared" si="1"/>
        <v>Respiratory Distress</v>
      </c>
      <c r="F31">
        <f t="shared" si="2"/>
        <v>11.6</v>
      </c>
      <c r="G31">
        <f t="shared" si="3"/>
        <v>3.1E-2</v>
      </c>
      <c r="H31" s="1">
        <f t="shared" si="4"/>
        <v>414</v>
      </c>
    </row>
    <row r="32" spans="1:8" x14ac:dyDescent="0.25">
      <c r="A32" s="13" t="s">
        <v>33</v>
      </c>
      <c r="B32" s="14">
        <v>5.9333333333333336</v>
      </c>
      <c r="C32" s="14">
        <v>1.4666666666666666E-2</v>
      </c>
      <c r="D32" s="14">
        <v>7613</v>
      </c>
      <c r="E32" t="str">
        <f t="shared" si="1"/>
        <v>Septicemia</v>
      </c>
      <c r="F32">
        <f t="shared" si="2"/>
        <v>5.9333333333333336</v>
      </c>
      <c r="G32">
        <f t="shared" si="3"/>
        <v>1.4666666666666666E-2</v>
      </c>
      <c r="H32" s="1">
        <f t="shared" si="4"/>
        <v>7613</v>
      </c>
    </row>
    <row r="33" spans="1:8" x14ac:dyDescent="0.25">
      <c r="A33" s="13" t="s">
        <v>8</v>
      </c>
      <c r="B33" s="14">
        <v>82.6</v>
      </c>
      <c r="C33" s="14">
        <v>0.223</v>
      </c>
      <c r="D33" s="14">
        <v>2946</v>
      </c>
      <c r="E33" t="str">
        <f t="shared" si="1"/>
        <v>Short Gestation</v>
      </c>
      <c r="F33">
        <f t="shared" si="2"/>
        <v>82.6</v>
      </c>
      <c r="G33">
        <f t="shared" si="3"/>
        <v>0.223</v>
      </c>
      <c r="H33" s="1">
        <f t="shared" si="4"/>
        <v>2946</v>
      </c>
    </row>
    <row r="34" spans="1:8" x14ac:dyDescent="0.25">
      <c r="A34" s="13" t="s">
        <v>9</v>
      </c>
      <c r="B34" s="14">
        <v>40.9</v>
      </c>
      <c r="C34" s="14">
        <v>0.111</v>
      </c>
      <c r="D34" s="14">
        <v>1459</v>
      </c>
      <c r="E34" t="str">
        <f t="shared" si="1"/>
        <v>Sids</v>
      </c>
      <c r="F34">
        <f t="shared" si="2"/>
        <v>40.9</v>
      </c>
      <c r="G34">
        <f t="shared" si="3"/>
        <v>0.111</v>
      </c>
      <c r="H34" s="1">
        <f t="shared" si="4"/>
        <v>1459</v>
      </c>
    </row>
    <row r="35" spans="1:8" x14ac:dyDescent="0.25">
      <c r="A35" s="13" t="s">
        <v>25</v>
      </c>
      <c r="B35" s="14">
        <v>15.133333333333333</v>
      </c>
      <c r="C35" s="14">
        <v>0.11266666666666668</v>
      </c>
      <c r="D35" s="14">
        <v>38518</v>
      </c>
      <c r="E35" t="str">
        <f t="shared" si="1"/>
        <v>Suicide</v>
      </c>
      <c r="F35">
        <f t="shared" si="2"/>
        <v>15.133333333333333</v>
      </c>
      <c r="G35">
        <f t="shared" si="3"/>
        <v>0.11266666666666668</v>
      </c>
      <c r="H35" s="1">
        <f t="shared" si="4"/>
        <v>38518</v>
      </c>
    </row>
    <row r="36" spans="1:8" x14ac:dyDescent="0.25">
      <c r="A36" s="13" t="s">
        <v>10</v>
      </c>
      <c r="B36" s="14">
        <v>54.245454545454542</v>
      </c>
      <c r="C36" s="14">
        <v>0.2805454545454546</v>
      </c>
      <c r="D36" s="14">
        <v>449851</v>
      </c>
      <c r="E36" t="str">
        <f t="shared" si="1"/>
        <v>Unintentional Injury</v>
      </c>
      <c r="F36">
        <f t="shared" si="2"/>
        <v>54.245454545454542</v>
      </c>
      <c r="G36">
        <f t="shared" si="3"/>
        <v>0.2805454545454546</v>
      </c>
      <c r="H36" s="1">
        <f t="shared" si="4"/>
        <v>449851</v>
      </c>
    </row>
    <row r="37" spans="1:8" x14ac:dyDescent="0.25">
      <c r="A37" s="13" t="s">
        <v>73</v>
      </c>
      <c r="B37" s="14">
        <v>57.747272727272737</v>
      </c>
      <c r="C37" s="14">
        <v>9.9954545454545421E-2</v>
      </c>
      <c r="D37" s="14">
        <v>5249053</v>
      </c>
    </row>
    <row r="42" spans="1:8" x14ac:dyDescent="0.25">
      <c r="A42" s="15" t="s">
        <v>0</v>
      </c>
      <c r="B42" s="13" t="s">
        <v>74</v>
      </c>
      <c r="C42" s="24" t="s">
        <v>0</v>
      </c>
      <c r="D42" s="24" t="s">
        <v>80</v>
      </c>
    </row>
    <row r="43" spans="1:8" x14ac:dyDescent="0.25">
      <c r="A43" s="13" t="s">
        <v>52</v>
      </c>
      <c r="B43" s="14">
        <v>13190</v>
      </c>
      <c r="C43" t="str">
        <f>A43</f>
        <v>Less than 1yrs</v>
      </c>
      <c r="D43" s="1">
        <f>B43</f>
        <v>13190</v>
      </c>
    </row>
    <row r="44" spans="1:8" x14ac:dyDescent="0.25">
      <c r="A44" s="13" t="s">
        <v>53</v>
      </c>
      <c r="B44" s="14">
        <v>2679</v>
      </c>
      <c r="C44" t="str">
        <f t="shared" ref="C44:C53" si="5">A44</f>
        <v>1 to 4 yrs</v>
      </c>
      <c r="D44" s="1">
        <f t="shared" ref="D44:D53" si="6">B44</f>
        <v>2679</v>
      </c>
    </row>
    <row r="45" spans="1:8" x14ac:dyDescent="0.25">
      <c r="A45" s="13" t="s">
        <v>59</v>
      </c>
      <c r="B45" s="14">
        <v>1806</v>
      </c>
      <c r="C45" t="str">
        <f t="shared" si="5"/>
        <v>5 to 9 yrs</v>
      </c>
      <c r="D45" s="1">
        <f t="shared" si="6"/>
        <v>1806</v>
      </c>
    </row>
    <row r="46" spans="1:8" x14ac:dyDescent="0.25">
      <c r="A46" s="13" t="s">
        <v>54</v>
      </c>
      <c r="B46" s="14">
        <v>2787</v>
      </c>
      <c r="C46" t="str">
        <f t="shared" si="5"/>
        <v>10 to 14 yrs</v>
      </c>
      <c r="D46" s="1">
        <f t="shared" si="6"/>
        <v>2787</v>
      </c>
    </row>
    <row r="47" spans="1:8" x14ac:dyDescent="0.25">
      <c r="A47" s="13" t="s">
        <v>55</v>
      </c>
      <c r="B47" s="14">
        <v>33791</v>
      </c>
      <c r="C47" t="str">
        <f t="shared" si="5"/>
        <v>15 to 24 yrs</v>
      </c>
      <c r="D47" s="1">
        <f t="shared" si="6"/>
        <v>33791</v>
      </c>
    </row>
    <row r="48" spans="1:8" x14ac:dyDescent="0.25">
      <c r="A48" s="13" t="s">
        <v>56</v>
      </c>
      <c r="B48" s="14">
        <v>69327</v>
      </c>
      <c r="C48" t="str">
        <f t="shared" si="5"/>
        <v>25 to 34 yrs</v>
      </c>
      <c r="D48" s="1">
        <f t="shared" si="6"/>
        <v>69327</v>
      </c>
    </row>
    <row r="49" spans="1:4" x14ac:dyDescent="0.25">
      <c r="A49" s="13" t="s">
        <v>57</v>
      </c>
      <c r="B49" s="14">
        <v>101214</v>
      </c>
      <c r="C49" t="str">
        <f t="shared" si="5"/>
        <v>35 to 44 yrs</v>
      </c>
      <c r="D49" s="1">
        <f t="shared" si="6"/>
        <v>101214</v>
      </c>
    </row>
    <row r="50" spans="1:4" x14ac:dyDescent="0.25">
      <c r="A50" s="13" t="s">
        <v>58</v>
      </c>
      <c r="B50" s="14">
        <v>173586</v>
      </c>
      <c r="C50" t="str">
        <f t="shared" si="5"/>
        <v>45 to 54 yrs</v>
      </c>
      <c r="D50" s="1">
        <f t="shared" si="6"/>
        <v>173586</v>
      </c>
    </row>
    <row r="51" spans="1:4" x14ac:dyDescent="0.25">
      <c r="A51" s="13" t="s">
        <v>60</v>
      </c>
      <c r="B51" s="14">
        <v>386826</v>
      </c>
      <c r="C51" t="str">
        <f t="shared" si="5"/>
        <v>55 to 64 yrs</v>
      </c>
      <c r="D51" s="1">
        <f t="shared" si="6"/>
        <v>386826</v>
      </c>
    </row>
    <row r="52" spans="1:4" x14ac:dyDescent="0.25">
      <c r="A52" s="13" t="s">
        <v>61</v>
      </c>
      <c r="B52" s="14">
        <v>1882391</v>
      </c>
      <c r="C52" t="str">
        <f t="shared" si="5"/>
        <v>65 above</v>
      </c>
      <c r="D52" s="1">
        <f t="shared" si="6"/>
        <v>1882391</v>
      </c>
    </row>
    <row r="53" spans="1:4" x14ac:dyDescent="0.25">
      <c r="A53" s="13" t="s">
        <v>40</v>
      </c>
      <c r="B53" s="14">
        <v>2581456</v>
      </c>
      <c r="C53" t="str">
        <f t="shared" si="5"/>
        <v>All Ages</v>
      </c>
      <c r="D53">
        <f t="shared" si="6"/>
        <v>2581456</v>
      </c>
    </row>
    <row r="54" spans="1:4" x14ac:dyDescent="0.25">
      <c r="A54" s="13" t="s">
        <v>73</v>
      </c>
      <c r="B54" s="14">
        <v>5249053</v>
      </c>
    </row>
  </sheetData>
  <sortState ref="C9:D35">
    <sortCondition ref="C9"/>
  </sortState>
  <pageMargins left="0.7" right="0.7" top="0.75" bottom="0.7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3"/>
  <sheetViews>
    <sheetView showGridLines="0" workbookViewId="0">
      <selection activeCell="K3" sqref="K3:K10"/>
    </sheetView>
  </sheetViews>
  <sheetFormatPr defaultRowHeight="12" x14ac:dyDescent="0.2"/>
  <cols>
    <col min="1" max="1" width="9.140625" style="5"/>
    <col min="2" max="2" width="11.85546875" style="5" customWidth="1"/>
    <col min="3" max="3" width="9.140625" style="5"/>
    <col min="4" max="4" width="30.85546875" style="5" bestFit="1" customWidth="1"/>
    <col min="5" max="5" width="7.5703125" style="5" bestFit="1" customWidth="1"/>
    <col min="6" max="6" width="10.7109375" style="5" bestFit="1" customWidth="1"/>
    <col min="7" max="7" width="11" style="5" bestFit="1" customWidth="1"/>
    <col min="8" max="16384" width="9.140625" style="5"/>
  </cols>
  <sheetData>
    <row r="1" spans="1:21" x14ac:dyDescent="0.2">
      <c r="A1" s="5" t="s">
        <v>71</v>
      </c>
    </row>
    <row r="3" spans="1:21" x14ac:dyDescent="0.2">
      <c r="B3" s="11" t="s">
        <v>0</v>
      </c>
      <c r="C3" s="11" t="s">
        <v>1</v>
      </c>
      <c r="D3" s="11" t="s">
        <v>2</v>
      </c>
      <c r="E3" s="11" t="s">
        <v>3</v>
      </c>
      <c r="F3" s="11" t="s">
        <v>4</v>
      </c>
      <c r="G3" s="11" t="s">
        <v>5</v>
      </c>
      <c r="K3" s="5" t="s">
        <v>41</v>
      </c>
    </row>
    <row r="4" spans="1:21" x14ac:dyDescent="0.2">
      <c r="B4" s="6" t="s">
        <v>52</v>
      </c>
      <c r="C4" s="6">
        <v>1</v>
      </c>
      <c r="D4" s="6" t="s">
        <v>7</v>
      </c>
      <c r="E4" s="7">
        <v>3963</v>
      </c>
      <c r="F4" s="6">
        <v>111.2</v>
      </c>
      <c r="G4" s="8">
        <v>0.3</v>
      </c>
      <c r="K4" s="5" t="s">
        <v>42</v>
      </c>
    </row>
    <row r="5" spans="1:21" x14ac:dyDescent="0.2">
      <c r="B5" s="6" t="s">
        <v>52</v>
      </c>
      <c r="C5" s="6">
        <v>2</v>
      </c>
      <c r="D5" s="6" t="s">
        <v>8</v>
      </c>
      <c r="E5" s="7">
        <v>2946</v>
      </c>
      <c r="F5" s="6">
        <v>82.6</v>
      </c>
      <c r="G5" s="8">
        <v>0.223</v>
      </c>
      <c r="K5" s="5" t="s">
        <v>43</v>
      </c>
    </row>
    <row r="6" spans="1:21" x14ac:dyDescent="0.2">
      <c r="B6" s="6" t="s">
        <v>52</v>
      </c>
      <c r="C6" s="6">
        <v>3</v>
      </c>
      <c r="D6" s="6" t="s">
        <v>9</v>
      </c>
      <c r="E6" s="7">
        <v>1459</v>
      </c>
      <c r="F6" s="6">
        <v>40.9</v>
      </c>
      <c r="G6" s="8">
        <v>0.111</v>
      </c>
      <c r="K6" s="5" t="s">
        <v>44</v>
      </c>
    </row>
    <row r="7" spans="1:21" x14ac:dyDescent="0.2">
      <c r="B7" s="6" t="s">
        <v>52</v>
      </c>
      <c r="C7" s="6">
        <v>4</v>
      </c>
      <c r="D7" s="6" t="s">
        <v>10</v>
      </c>
      <c r="E7" s="7">
        <v>1306</v>
      </c>
      <c r="F7" s="6">
        <v>36.6</v>
      </c>
      <c r="G7" s="8">
        <v>9.9000000000000005E-2</v>
      </c>
      <c r="K7" s="5" t="s">
        <v>45</v>
      </c>
    </row>
    <row r="8" spans="1:21" x14ac:dyDescent="0.2">
      <c r="B8" s="6" t="s">
        <v>52</v>
      </c>
      <c r="C8" s="6">
        <v>5</v>
      </c>
      <c r="D8" s="6" t="s">
        <v>11</v>
      </c>
      <c r="E8" s="7">
        <v>1113</v>
      </c>
      <c r="F8" s="6">
        <v>31.2</v>
      </c>
      <c r="G8" s="8">
        <v>8.4000000000000005E-2</v>
      </c>
      <c r="K8" s="5" t="s">
        <v>46</v>
      </c>
    </row>
    <row r="9" spans="1:21" x14ac:dyDescent="0.2">
      <c r="B9" s="6" t="s">
        <v>52</v>
      </c>
      <c r="C9" s="6">
        <v>6</v>
      </c>
      <c r="D9" s="6" t="s">
        <v>12</v>
      </c>
      <c r="E9" s="6">
        <v>672</v>
      </c>
      <c r="F9" s="6">
        <v>18.899999999999999</v>
      </c>
      <c r="G9" s="8">
        <v>5.0999999999999997E-2</v>
      </c>
      <c r="K9" s="5" t="s">
        <v>47</v>
      </c>
    </row>
    <row r="10" spans="1:21" x14ac:dyDescent="0.2">
      <c r="B10" s="6" t="s">
        <v>52</v>
      </c>
      <c r="C10" s="6">
        <v>7</v>
      </c>
      <c r="D10" s="6" t="s">
        <v>13</v>
      </c>
      <c r="E10" s="6">
        <v>557</v>
      </c>
      <c r="F10" s="6">
        <v>15.6</v>
      </c>
      <c r="G10" s="8">
        <v>4.2000000000000003E-2</v>
      </c>
      <c r="K10" s="5" t="s">
        <v>48</v>
      </c>
    </row>
    <row r="11" spans="1:21" x14ac:dyDescent="0.2">
      <c r="B11" s="6" t="s">
        <v>52</v>
      </c>
      <c r="C11" s="6">
        <v>8</v>
      </c>
      <c r="D11" s="6" t="s">
        <v>14</v>
      </c>
      <c r="E11" s="6">
        <v>414</v>
      </c>
      <c r="F11" s="6">
        <v>11.6</v>
      </c>
      <c r="G11" s="8">
        <v>3.1E-2</v>
      </c>
      <c r="K11" s="5" t="s">
        <v>49</v>
      </c>
    </row>
    <row r="12" spans="1:21" x14ac:dyDescent="0.2">
      <c r="B12" s="6" t="s">
        <v>52</v>
      </c>
      <c r="C12" s="6">
        <v>9</v>
      </c>
      <c r="D12" s="6" t="s">
        <v>15</v>
      </c>
      <c r="E12" s="6">
        <v>402</v>
      </c>
      <c r="F12" s="6">
        <v>11.3</v>
      </c>
      <c r="G12" s="8">
        <v>0.03</v>
      </c>
      <c r="K12" s="5" t="s">
        <v>50</v>
      </c>
    </row>
    <row r="13" spans="1:21" x14ac:dyDescent="0.2">
      <c r="B13" s="6" t="s">
        <v>52</v>
      </c>
      <c r="C13" s="6">
        <v>10</v>
      </c>
      <c r="D13" s="6" t="s">
        <v>16</v>
      </c>
      <c r="E13" s="6">
        <v>358</v>
      </c>
      <c r="F13" s="6">
        <v>10</v>
      </c>
      <c r="G13" s="8">
        <v>2.7E-2</v>
      </c>
      <c r="K13" s="5" t="s">
        <v>51</v>
      </c>
    </row>
    <row r="14" spans="1:21" ht="15" x14ac:dyDescent="0.25">
      <c r="B14" s="9" t="s">
        <v>53</v>
      </c>
      <c r="C14" s="6">
        <v>1</v>
      </c>
      <c r="D14" s="6" t="s">
        <v>10</v>
      </c>
      <c r="E14" s="7">
        <v>1299</v>
      </c>
      <c r="F14" s="6">
        <v>8.5</v>
      </c>
      <c r="G14" s="8">
        <v>0.48499999999999999</v>
      </c>
      <c r="U14"/>
    </row>
    <row r="15" spans="1:21" ht="15" x14ac:dyDescent="0.25">
      <c r="B15" s="9" t="s">
        <v>53</v>
      </c>
      <c r="C15" s="6">
        <v>2</v>
      </c>
      <c r="D15" s="6" t="s">
        <v>7</v>
      </c>
      <c r="E15" s="6">
        <v>412</v>
      </c>
      <c r="F15" s="6">
        <v>2.7</v>
      </c>
      <c r="G15" s="8">
        <v>0.154</v>
      </c>
      <c r="U15"/>
    </row>
    <row r="16" spans="1:21" ht="15" x14ac:dyDescent="0.25">
      <c r="B16" s="9" t="s">
        <v>53</v>
      </c>
      <c r="C16" s="6">
        <v>3</v>
      </c>
      <c r="D16" s="6" t="s">
        <v>17</v>
      </c>
      <c r="E16" s="6">
        <v>309</v>
      </c>
      <c r="F16" s="6">
        <v>2</v>
      </c>
      <c r="G16" s="8">
        <v>0.115</v>
      </c>
      <c r="U16"/>
    </row>
    <row r="17" spans="2:21" ht="15" x14ac:dyDescent="0.25">
      <c r="B17" s="9" t="s">
        <v>53</v>
      </c>
      <c r="C17" s="6">
        <v>4</v>
      </c>
      <c r="D17" s="6" t="s">
        <v>18</v>
      </c>
      <c r="E17" s="6">
        <v>282</v>
      </c>
      <c r="F17" s="6">
        <v>1.8</v>
      </c>
      <c r="G17" s="8">
        <v>0.105</v>
      </c>
      <c r="K17" s="5" t="s">
        <v>62</v>
      </c>
      <c r="U17"/>
    </row>
    <row r="18" spans="2:21" ht="15" x14ac:dyDescent="0.25">
      <c r="B18" s="9" t="s">
        <v>53</v>
      </c>
      <c r="C18" s="6">
        <v>5</v>
      </c>
      <c r="D18" s="6" t="s">
        <v>19</v>
      </c>
      <c r="E18" s="6">
        <v>116</v>
      </c>
      <c r="F18" s="6">
        <v>0.8</v>
      </c>
      <c r="G18" s="8">
        <v>4.2999999999999997E-2</v>
      </c>
      <c r="K18" s="5" t="s">
        <v>63</v>
      </c>
      <c r="U18"/>
    </row>
    <row r="19" spans="2:21" ht="15" x14ac:dyDescent="0.25">
      <c r="B19" s="9" t="s">
        <v>53</v>
      </c>
      <c r="C19" s="6">
        <v>6</v>
      </c>
      <c r="D19" s="6" t="s">
        <v>20</v>
      </c>
      <c r="E19" s="6">
        <v>68</v>
      </c>
      <c r="F19" s="6">
        <v>0.4</v>
      </c>
      <c r="G19" s="8">
        <v>2.5000000000000001E-2</v>
      </c>
      <c r="K19" s="5" t="s">
        <v>64</v>
      </c>
      <c r="U19"/>
    </row>
    <row r="20" spans="2:21" ht="15" x14ac:dyDescent="0.25">
      <c r="B20" s="9" t="s">
        <v>53</v>
      </c>
      <c r="C20" s="6">
        <v>7</v>
      </c>
      <c r="D20" s="6" t="s">
        <v>21</v>
      </c>
      <c r="E20" s="6">
        <v>55</v>
      </c>
      <c r="F20" s="6">
        <v>0.4</v>
      </c>
      <c r="G20" s="8">
        <v>2.1000000000000001E-2</v>
      </c>
      <c r="K20" s="5" t="s">
        <v>67</v>
      </c>
      <c r="U20"/>
    </row>
    <row r="21" spans="2:21" ht="15" x14ac:dyDescent="0.25">
      <c r="B21" s="9" t="s">
        <v>53</v>
      </c>
      <c r="C21" s="6">
        <v>8</v>
      </c>
      <c r="D21" s="6" t="s">
        <v>22</v>
      </c>
      <c r="E21" s="6">
        <v>54</v>
      </c>
      <c r="F21" s="6">
        <v>0.4</v>
      </c>
      <c r="G21" s="8">
        <v>0.02</v>
      </c>
      <c r="K21" s="5" t="s">
        <v>65</v>
      </c>
      <c r="U21"/>
    </row>
    <row r="22" spans="2:21" ht="15" x14ac:dyDescent="0.25">
      <c r="B22" s="9" t="s">
        <v>53</v>
      </c>
      <c r="C22" s="6">
        <v>9</v>
      </c>
      <c r="D22" s="6" t="s">
        <v>23</v>
      </c>
      <c r="E22" s="6">
        <v>47</v>
      </c>
      <c r="F22" s="6">
        <v>0.3</v>
      </c>
      <c r="G22" s="8">
        <v>1.7999999999999999E-2</v>
      </c>
      <c r="K22" s="5" t="s">
        <v>66</v>
      </c>
      <c r="U22"/>
    </row>
    <row r="23" spans="2:21" ht="15" x14ac:dyDescent="0.25">
      <c r="B23" s="9" t="s">
        <v>53</v>
      </c>
      <c r="C23" s="6">
        <v>10</v>
      </c>
      <c r="D23" s="6" t="s">
        <v>24</v>
      </c>
      <c r="E23" s="6">
        <v>37</v>
      </c>
      <c r="F23" s="6">
        <v>0.2</v>
      </c>
      <c r="G23" s="8">
        <v>1.4E-2</v>
      </c>
      <c r="U23"/>
    </row>
    <row r="24" spans="2:21" ht="15" x14ac:dyDescent="0.25">
      <c r="B24" s="10" t="s">
        <v>54</v>
      </c>
      <c r="C24" s="6">
        <v>1</v>
      </c>
      <c r="D24" s="6" t="s">
        <v>10</v>
      </c>
      <c r="E24" s="6">
        <v>915</v>
      </c>
      <c r="F24" s="6">
        <v>4.3</v>
      </c>
      <c r="G24" s="8">
        <v>0.32800000000000001</v>
      </c>
      <c r="U24"/>
    </row>
    <row r="25" spans="2:21" ht="15" x14ac:dyDescent="0.25">
      <c r="B25" s="10" t="s">
        <v>54</v>
      </c>
      <c r="C25" s="6">
        <v>2</v>
      </c>
      <c r="D25" s="6" t="s">
        <v>25</v>
      </c>
      <c r="E25" s="6">
        <v>598</v>
      </c>
      <c r="F25" s="6">
        <v>2.8</v>
      </c>
      <c r="G25" s="8">
        <v>0.215</v>
      </c>
      <c r="U25"/>
    </row>
    <row r="26" spans="2:21" ht="15" x14ac:dyDescent="0.25">
      <c r="B26" s="10" t="s">
        <v>54</v>
      </c>
      <c r="C26" s="6">
        <v>3</v>
      </c>
      <c r="D26" s="6" t="s">
        <v>18</v>
      </c>
      <c r="E26" s="6">
        <v>449</v>
      </c>
      <c r="F26" s="6">
        <v>2.1</v>
      </c>
      <c r="G26" s="8">
        <v>0.161</v>
      </c>
      <c r="U26"/>
    </row>
    <row r="27" spans="2:21" ht="15" x14ac:dyDescent="0.25">
      <c r="B27" s="10" t="s">
        <v>54</v>
      </c>
      <c r="C27" s="6">
        <v>4</v>
      </c>
      <c r="D27" s="6" t="s">
        <v>17</v>
      </c>
      <c r="E27" s="6">
        <v>298</v>
      </c>
      <c r="F27" s="6">
        <v>1.4</v>
      </c>
      <c r="G27" s="8">
        <v>0.107</v>
      </c>
      <c r="U27"/>
    </row>
    <row r="28" spans="2:21" ht="15" x14ac:dyDescent="0.25">
      <c r="B28" s="10" t="s">
        <v>54</v>
      </c>
      <c r="C28" s="6">
        <v>5</v>
      </c>
      <c r="D28" s="6" t="s">
        <v>7</v>
      </c>
      <c r="E28" s="6">
        <v>179</v>
      </c>
      <c r="F28" s="6">
        <v>0.8</v>
      </c>
      <c r="G28" s="8">
        <v>6.4000000000000001E-2</v>
      </c>
      <c r="U28"/>
    </row>
    <row r="29" spans="2:21" ht="15" x14ac:dyDescent="0.25">
      <c r="B29" s="10" t="s">
        <v>54</v>
      </c>
      <c r="C29" s="6">
        <v>6</v>
      </c>
      <c r="D29" s="6" t="s">
        <v>19</v>
      </c>
      <c r="E29" s="6">
        <v>132</v>
      </c>
      <c r="F29" s="6">
        <v>0.6</v>
      </c>
      <c r="G29" s="8">
        <v>4.7E-2</v>
      </c>
      <c r="U29"/>
    </row>
    <row r="30" spans="2:21" ht="15" x14ac:dyDescent="0.25">
      <c r="B30" s="10" t="s">
        <v>54</v>
      </c>
      <c r="C30" s="6">
        <v>7</v>
      </c>
      <c r="D30" s="6" t="s">
        <v>22</v>
      </c>
      <c r="E30" s="6">
        <v>79</v>
      </c>
      <c r="F30" s="6">
        <v>0.4</v>
      </c>
      <c r="G30" s="8">
        <v>2.8000000000000001E-2</v>
      </c>
      <c r="U30"/>
    </row>
    <row r="31" spans="2:21" ht="15" x14ac:dyDescent="0.25">
      <c r="B31" s="10" t="s">
        <v>54</v>
      </c>
      <c r="C31" s="6">
        <v>8</v>
      </c>
      <c r="D31" s="6" t="s">
        <v>21</v>
      </c>
      <c r="E31" s="6">
        <v>53</v>
      </c>
      <c r="F31" s="6">
        <v>0.2</v>
      </c>
      <c r="G31" s="8">
        <v>1.9E-2</v>
      </c>
      <c r="J31"/>
      <c r="U31"/>
    </row>
    <row r="32" spans="2:21" ht="15" x14ac:dyDescent="0.25">
      <c r="B32" s="10" t="s">
        <v>54</v>
      </c>
      <c r="C32" s="6">
        <v>9</v>
      </c>
      <c r="D32" s="6" t="s">
        <v>26</v>
      </c>
      <c r="E32" s="6">
        <v>45</v>
      </c>
      <c r="F32" s="6">
        <v>0.2</v>
      </c>
      <c r="G32" s="8">
        <v>1.6E-2</v>
      </c>
      <c r="J32"/>
      <c r="U32"/>
    </row>
    <row r="33" spans="2:21" ht="15" x14ac:dyDescent="0.25">
      <c r="B33" s="10" t="s">
        <v>54</v>
      </c>
      <c r="C33" s="6">
        <v>10</v>
      </c>
      <c r="D33" s="6" t="s">
        <v>27</v>
      </c>
      <c r="E33" s="6">
        <v>39</v>
      </c>
      <c r="F33" s="6">
        <v>0.2</v>
      </c>
      <c r="G33" s="8">
        <v>1.4E-2</v>
      </c>
      <c r="J33"/>
      <c r="U33"/>
    </row>
    <row r="34" spans="2:21" ht="15" x14ac:dyDescent="0.25">
      <c r="B34" s="6" t="s">
        <v>55</v>
      </c>
      <c r="C34" s="6">
        <v>1</v>
      </c>
      <c r="D34" s="6" t="s">
        <v>10</v>
      </c>
      <c r="E34" s="7">
        <v>15792</v>
      </c>
      <c r="F34" s="6">
        <v>36.700000000000003</v>
      </c>
      <c r="G34" s="8">
        <v>0.46700000000000003</v>
      </c>
      <c r="J34"/>
      <c r="U34"/>
    </row>
    <row r="35" spans="2:21" ht="15" x14ac:dyDescent="0.25">
      <c r="B35" s="6" t="s">
        <v>55</v>
      </c>
      <c r="C35" s="6">
        <v>2</v>
      </c>
      <c r="D35" s="6" t="s">
        <v>17</v>
      </c>
      <c r="E35" s="7">
        <v>6635</v>
      </c>
      <c r="F35" s="6">
        <v>15.4</v>
      </c>
      <c r="G35" s="8">
        <v>0.19600000000000001</v>
      </c>
      <c r="J35"/>
      <c r="U35"/>
    </row>
    <row r="36" spans="2:21" ht="15" x14ac:dyDescent="0.25">
      <c r="B36" s="6" t="s">
        <v>55</v>
      </c>
      <c r="C36" s="6">
        <v>3</v>
      </c>
      <c r="D36" s="6" t="s">
        <v>25</v>
      </c>
      <c r="E36" s="7">
        <v>6528</v>
      </c>
      <c r="F36" s="6">
        <v>15.2</v>
      </c>
      <c r="G36" s="8">
        <v>0.193</v>
      </c>
      <c r="J36"/>
      <c r="U36"/>
    </row>
    <row r="37" spans="2:21" ht="15" x14ac:dyDescent="0.25">
      <c r="B37" s="6" t="s">
        <v>55</v>
      </c>
      <c r="C37" s="6">
        <v>4</v>
      </c>
      <c r="D37" s="6" t="s">
        <v>22</v>
      </c>
      <c r="E37" s="7">
        <v>1401</v>
      </c>
      <c r="F37" s="6">
        <v>3.3</v>
      </c>
      <c r="G37" s="8">
        <v>4.1000000000000002E-2</v>
      </c>
      <c r="J37"/>
      <c r="U37"/>
    </row>
    <row r="38" spans="2:21" ht="15" x14ac:dyDescent="0.25">
      <c r="B38" s="6" t="s">
        <v>55</v>
      </c>
      <c r="C38" s="6">
        <v>5</v>
      </c>
      <c r="D38" s="6" t="s">
        <v>18</v>
      </c>
      <c r="E38" s="7">
        <v>1323</v>
      </c>
      <c r="F38" s="6">
        <v>3.1</v>
      </c>
      <c r="G38" s="8">
        <v>3.9E-2</v>
      </c>
      <c r="J38"/>
      <c r="U38"/>
    </row>
    <row r="39" spans="2:21" ht="15" x14ac:dyDescent="0.25">
      <c r="B39" s="6" t="s">
        <v>55</v>
      </c>
      <c r="C39" s="6">
        <v>6</v>
      </c>
      <c r="D39" s="6" t="s">
        <v>19</v>
      </c>
      <c r="E39" s="6">
        <v>944</v>
      </c>
      <c r="F39" s="6">
        <v>2.2000000000000002</v>
      </c>
      <c r="G39" s="8">
        <v>2.8000000000000001E-2</v>
      </c>
      <c r="J39"/>
      <c r="U39"/>
    </row>
    <row r="40" spans="2:21" ht="15" x14ac:dyDescent="0.25">
      <c r="B40" s="6" t="s">
        <v>55</v>
      </c>
      <c r="C40" s="6">
        <v>7</v>
      </c>
      <c r="D40" s="6" t="s">
        <v>7</v>
      </c>
      <c r="E40" s="6">
        <v>419</v>
      </c>
      <c r="F40" s="6">
        <v>1</v>
      </c>
      <c r="G40" s="8">
        <v>1.2E-2</v>
      </c>
      <c r="J40"/>
      <c r="U40"/>
    </row>
    <row r="41" spans="2:21" ht="15" x14ac:dyDescent="0.25">
      <c r="B41" s="6" t="s">
        <v>55</v>
      </c>
      <c r="C41" s="6">
        <v>8</v>
      </c>
      <c r="D41" s="6" t="s">
        <v>27</v>
      </c>
      <c r="E41" s="6">
        <v>345</v>
      </c>
      <c r="F41" s="6">
        <v>0.8</v>
      </c>
      <c r="G41" s="8">
        <v>0.01</v>
      </c>
      <c r="J41"/>
      <c r="U41"/>
    </row>
    <row r="42" spans="2:21" ht="15" x14ac:dyDescent="0.25">
      <c r="B42" s="6" t="s">
        <v>55</v>
      </c>
      <c r="C42" s="6">
        <v>9</v>
      </c>
      <c r="D42" s="6" t="s">
        <v>29</v>
      </c>
      <c r="E42" s="6">
        <v>214</v>
      </c>
      <c r="F42" s="6">
        <v>0.5</v>
      </c>
      <c r="G42" s="8">
        <v>6.0000000000000001E-3</v>
      </c>
      <c r="J42"/>
      <c r="U42"/>
    </row>
    <row r="43" spans="2:21" ht="15" x14ac:dyDescent="0.25">
      <c r="B43" s="6" t="s">
        <v>55</v>
      </c>
      <c r="C43" s="6">
        <v>10</v>
      </c>
      <c r="D43" s="6" t="s">
        <v>21</v>
      </c>
      <c r="E43" s="6">
        <v>190</v>
      </c>
      <c r="F43" s="6">
        <v>0.4</v>
      </c>
      <c r="G43" s="8">
        <v>6.0000000000000001E-3</v>
      </c>
      <c r="J43"/>
      <c r="U43"/>
    </row>
    <row r="44" spans="2:21" ht="15" x14ac:dyDescent="0.25">
      <c r="B44" s="6" t="s">
        <v>56</v>
      </c>
      <c r="C44" s="6">
        <v>1</v>
      </c>
      <c r="D44" s="6" t="s">
        <v>10</v>
      </c>
      <c r="E44" s="7">
        <v>34452</v>
      </c>
      <c r="F44" s="6">
        <v>75.7</v>
      </c>
      <c r="G44" s="8">
        <v>0.497</v>
      </c>
      <c r="J44"/>
      <c r="U44"/>
    </row>
    <row r="45" spans="2:21" ht="15" x14ac:dyDescent="0.25">
      <c r="B45" s="6" t="s">
        <v>56</v>
      </c>
      <c r="C45" s="6">
        <v>2</v>
      </c>
      <c r="D45" s="6" t="s">
        <v>25</v>
      </c>
      <c r="E45" s="7">
        <v>8862</v>
      </c>
      <c r="F45" s="6">
        <v>19.5</v>
      </c>
      <c r="G45" s="8">
        <v>0.128</v>
      </c>
      <c r="J45"/>
      <c r="U45"/>
    </row>
    <row r="46" spans="2:21" ht="15" x14ac:dyDescent="0.25">
      <c r="B46" s="6" t="s">
        <v>56</v>
      </c>
      <c r="C46" s="6">
        <v>3</v>
      </c>
      <c r="D46" s="6" t="s">
        <v>17</v>
      </c>
      <c r="E46" s="7">
        <v>7571</v>
      </c>
      <c r="F46" s="6">
        <v>16.600000000000001</v>
      </c>
      <c r="G46" s="8">
        <v>0.109</v>
      </c>
      <c r="J46"/>
      <c r="U46"/>
    </row>
    <row r="47" spans="2:21" ht="15" x14ac:dyDescent="0.25">
      <c r="B47" s="6" t="s">
        <v>56</v>
      </c>
      <c r="C47" s="6">
        <v>4</v>
      </c>
      <c r="D47" s="6" t="s">
        <v>22</v>
      </c>
      <c r="E47" s="7">
        <v>6133</v>
      </c>
      <c r="F47" s="6">
        <v>13.5</v>
      </c>
      <c r="G47" s="8">
        <v>8.7999999999999995E-2</v>
      </c>
      <c r="J47"/>
      <c r="U47"/>
    </row>
    <row r="48" spans="2:21" ht="15" x14ac:dyDescent="0.25">
      <c r="B48" s="6" t="s">
        <v>56</v>
      </c>
      <c r="C48" s="6">
        <v>5</v>
      </c>
      <c r="D48" s="6" t="s">
        <v>19</v>
      </c>
      <c r="E48" s="7">
        <v>4155</v>
      </c>
      <c r="F48" s="6">
        <v>9.1</v>
      </c>
      <c r="G48" s="8">
        <v>0.06</v>
      </c>
      <c r="J48"/>
      <c r="U48"/>
    </row>
    <row r="49" spans="2:21" ht="15" x14ac:dyDescent="0.25">
      <c r="B49" s="6" t="s">
        <v>56</v>
      </c>
      <c r="C49" s="6">
        <v>6</v>
      </c>
      <c r="D49" s="6" t="s">
        <v>18</v>
      </c>
      <c r="E49" s="7">
        <v>3615</v>
      </c>
      <c r="F49" s="6">
        <v>7.9</v>
      </c>
      <c r="G49" s="8">
        <v>5.1999999999999998E-2</v>
      </c>
      <c r="J49"/>
      <c r="U49"/>
    </row>
    <row r="50" spans="2:21" ht="15" x14ac:dyDescent="0.25">
      <c r="B50" s="6" t="s">
        <v>56</v>
      </c>
      <c r="C50" s="6">
        <v>7</v>
      </c>
      <c r="D50" s="6" t="s">
        <v>31</v>
      </c>
      <c r="E50" s="7">
        <v>1833</v>
      </c>
      <c r="F50" s="6">
        <v>4</v>
      </c>
      <c r="G50" s="8">
        <v>2.5999999999999999E-2</v>
      </c>
      <c r="J50"/>
      <c r="U50"/>
    </row>
    <row r="51" spans="2:21" ht="15" x14ac:dyDescent="0.25">
      <c r="B51" s="6" t="s">
        <v>56</v>
      </c>
      <c r="C51" s="6">
        <v>8</v>
      </c>
      <c r="D51" s="6" t="s">
        <v>27</v>
      </c>
      <c r="E51" s="7">
        <v>1285</v>
      </c>
      <c r="F51" s="6">
        <v>2.8</v>
      </c>
      <c r="G51" s="8">
        <v>1.9E-2</v>
      </c>
      <c r="J51"/>
      <c r="U51"/>
    </row>
    <row r="52" spans="2:21" ht="15" x14ac:dyDescent="0.25">
      <c r="B52" s="6" t="s">
        <v>56</v>
      </c>
      <c r="C52" s="6">
        <v>9</v>
      </c>
      <c r="D52" s="6" t="s">
        <v>29</v>
      </c>
      <c r="E52" s="6">
        <v>797</v>
      </c>
      <c r="F52" s="6">
        <v>1.8</v>
      </c>
      <c r="G52" s="8">
        <v>1.0999999999999999E-2</v>
      </c>
      <c r="J52"/>
      <c r="U52"/>
    </row>
    <row r="53" spans="2:21" ht="15" x14ac:dyDescent="0.25">
      <c r="B53" s="6" t="s">
        <v>56</v>
      </c>
      <c r="C53" s="6">
        <v>10</v>
      </c>
      <c r="D53" s="6" t="s">
        <v>21</v>
      </c>
      <c r="E53" s="6">
        <v>624</v>
      </c>
      <c r="F53" s="6">
        <v>1.4</v>
      </c>
      <c r="G53" s="8">
        <v>8.9999999999999993E-3</v>
      </c>
      <c r="J53"/>
      <c r="U53"/>
    </row>
    <row r="54" spans="2:21" ht="15" x14ac:dyDescent="0.25">
      <c r="B54" s="6" t="s">
        <v>57</v>
      </c>
      <c r="C54" s="6">
        <v>1</v>
      </c>
      <c r="D54" s="6" t="s">
        <v>10</v>
      </c>
      <c r="E54" s="7">
        <v>36444</v>
      </c>
      <c r="F54" s="6">
        <v>84</v>
      </c>
      <c r="G54" s="8">
        <v>0.36</v>
      </c>
      <c r="J54"/>
      <c r="U54"/>
    </row>
    <row r="55" spans="2:21" ht="15" x14ac:dyDescent="0.25">
      <c r="B55" s="6" t="s">
        <v>57</v>
      </c>
      <c r="C55" s="6">
        <v>2</v>
      </c>
      <c r="D55" s="6" t="s">
        <v>22</v>
      </c>
      <c r="E55" s="7">
        <v>16006</v>
      </c>
      <c r="F55" s="6">
        <v>36.9</v>
      </c>
      <c r="G55" s="8">
        <v>0.158</v>
      </c>
      <c r="J55"/>
      <c r="U55"/>
    </row>
    <row r="56" spans="2:21" ht="15" x14ac:dyDescent="0.25">
      <c r="B56" s="6" t="s">
        <v>57</v>
      </c>
      <c r="C56" s="6">
        <v>3</v>
      </c>
      <c r="D56" s="6" t="s">
        <v>19</v>
      </c>
      <c r="E56" s="7">
        <v>12754</v>
      </c>
      <c r="F56" s="6">
        <v>29.4</v>
      </c>
      <c r="G56" s="8">
        <v>0.126</v>
      </c>
      <c r="J56"/>
      <c r="U56"/>
    </row>
    <row r="57" spans="2:21" ht="15" x14ac:dyDescent="0.25">
      <c r="B57" s="6" t="s">
        <v>57</v>
      </c>
      <c r="C57" s="6">
        <v>4</v>
      </c>
      <c r="D57" s="6" t="s">
        <v>18</v>
      </c>
      <c r="E57" s="7">
        <v>11194</v>
      </c>
      <c r="F57" s="6">
        <v>25.8</v>
      </c>
      <c r="G57" s="8">
        <v>0.111</v>
      </c>
      <c r="J57"/>
      <c r="U57"/>
    </row>
    <row r="58" spans="2:21" ht="15" x14ac:dyDescent="0.25">
      <c r="B58" s="6" t="s">
        <v>57</v>
      </c>
      <c r="C58" s="6">
        <v>5</v>
      </c>
      <c r="D58" s="6" t="s">
        <v>25</v>
      </c>
      <c r="E58" s="7">
        <v>7862</v>
      </c>
      <c r="F58" s="6">
        <v>18.100000000000001</v>
      </c>
      <c r="G58" s="8">
        <v>7.8E-2</v>
      </c>
      <c r="J58"/>
      <c r="U58"/>
    </row>
    <row r="59" spans="2:21" ht="15" x14ac:dyDescent="0.25">
      <c r="B59" s="6" t="s">
        <v>57</v>
      </c>
      <c r="C59" s="6">
        <v>6</v>
      </c>
      <c r="D59" s="6" t="s">
        <v>31</v>
      </c>
      <c r="E59" s="7">
        <v>5833</v>
      </c>
      <c r="F59" s="6">
        <v>13.4</v>
      </c>
      <c r="G59" s="8">
        <v>5.8000000000000003E-2</v>
      </c>
      <c r="J59"/>
      <c r="U59"/>
    </row>
    <row r="60" spans="2:21" ht="15" x14ac:dyDescent="0.25">
      <c r="B60" s="6" t="s">
        <v>57</v>
      </c>
      <c r="C60" s="6">
        <v>7</v>
      </c>
      <c r="D60" s="6" t="s">
        <v>17</v>
      </c>
      <c r="E60" s="7">
        <v>4863</v>
      </c>
      <c r="F60" s="6">
        <v>11.2</v>
      </c>
      <c r="G60" s="8">
        <v>4.8000000000000001E-2</v>
      </c>
      <c r="J60"/>
      <c r="U60"/>
    </row>
    <row r="61" spans="2:21" ht="15" x14ac:dyDescent="0.25">
      <c r="B61" s="6" t="s">
        <v>57</v>
      </c>
      <c r="C61" s="6">
        <v>8</v>
      </c>
      <c r="D61" s="6" t="s">
        <v>27</v>
      </c>
      <c r="E61" s="7">
        <v>2961</v>
      </c>
      <c r="F61" s="6">
        <v>6.8</v>
      </c>
      <c r="G61" s="8">
        <v>2.9000000000000001E-2</v>
      </c>
      <c r="J61"/>
      <c r="U61"/>
    </row>
    <row r="62" spans="2:21" ht="15" x14ac:dyDescent="0.25">
      <c r="B62" s="6" t="s">
        <v>57</v>
      </c>
      <c r="C62" s="6">
        <v>9</v>
      </c>
      <c r="D62" s="6" t="s">
        <v>21</v>
      </c>
      <c r="E62" s="7">
        <v>2189</v>
      </c>
      <c r="F62" s="6">
        <v>5</v>
      </c>
      <c r="G62" s="8">
        <v>2.1999999999999999E-2</v>
      </c>
      <c r="J62"/>
      <c r="U62"/>
    </row>
    <row r="63" spans="2:21" ht="15" x14ac:dyDescent="0.25">
      <c r="B63" s="6" t="s">
        <v>57</v>
      </c>
      <c r="C63" s="6">
        <v>10</v>
      </c>
      <c r="D63" s="6" t="s">
        <v>33</v>
      </c>
      <c r="E63" s="7">
        <v>1108</v>
      </c>
      <c r="F63" s="6">
        <v>2.6</v>
      </c>
      <c r="G63" s="8">
        <v>1.0999999999999999E-2</v>
      </c>
      <c r="J63"/>
      <c r="U63"/>
    </row>
    <row r="64" spans="2:21" ht="15" x14ac:dyDescent="0.25">
      <c r="B64" s="6" t="s">
        <v>58</v>
      </c>
      <c r="C64" s="6">
        <v>1</v>
      </c>
      <c r="D64" s="6" t="s">
        <v>22</v>
      </c>
      <c r="E64" s="7">
        <v>36881</v>
      </c>
      <c r="F64" s="6">
        <v>90.6</v>
      </c>
      <c r="G64" s="8">
        <v>0.21199999999999999</v>
      </c>
      <c r="J64"/>
      <c r="U64"/>
    </row>
    <row r="65" spans="2:21" ht="15" x14ac:dyDescent="0.25">
      <c r="B65" s="6" t="s">
        <v>58</v>
      </c>
      <c r="C65" s="6">
        <v>2</v>
      </c>
      <c r="D65" s="6" t="s">
        <v>19</v>
      </c>
      <c r="E65" s="7">
        <v>34535</v>
      </c>
      <c r="F65" s="6">
        <v>84.9</v>
      </c>
      <c r="G65" s="8">
        <v>0.19900000000000001</v>
      </c>
      <c r="J65"/>
      <c r="U65"/>
    </row>
    <row r="66" spans="2:21" ht="15" x14ac:dyDescent="0.25">
      <c r="B66" s="6" t="s">
        <v>58</v>
      </c>
      <c r="C66" s="6">
        <v>3</v>
      </c>
      <c r="D66" s="6" t="s">
        <v>18</v>
      </c>
      <c r="E66" s="7">
        <v>33567</v>
      </c>
      <c r="F66" s="6">
        <v>82.5</v>
      </c>
      <c r="G66" s="8">
        <v>0.193</v>
      </c>
      <c r="J66"/>
      <c r="U66"/>
    </row>
    <row r="67" spans="2:21" ht="15" x14ac:dyDescent="0.25">
      <c r="B67" s="6" t="s">
        <v>58</v>
      </c>
      <c r="C67" s="6">
        <v>4</v>
      </c>
      <c r="D67" s="6" t="s">
        <v>10</v>
      </c>
      <c r="E67" s="7">
        <v>31407</v>
      </c>
      <c r="F67" s="6">
        <v>77.2</v>
      </c>
      <c r="G67" s="8">
        <v>0.18099999999999999</v>
      </c>
      <c r="J67"/>
      <c r="U67"/>
    </row>
    <row r="68" spans="2:21" ht="15" x14ac:dyDescent="0.25">
      <c r="B68" s="6" t="s">
        <v>58</v>
      </c>
      <c r="C68" s="6">
        <v>5</v>
      </c>
      <c r="D68" s="6" t="s">
        <v>31</v>
      </c>
      <c r="E68" s="7">
        <v>10501</v>
      </c>
      <c r="F68" s="6">
        <v>25.8</v>
      </c>
      <c r="G68" s="8">
        <v>0.06</v>
      </c>
      <c r="J68"/>
      <c r="U68"/>
    </row>
    <row r="69" spans="2:21" ht="15" x14ac:dyDescent="0.25">
      <c r="B69" s="6" t="s">
        <v>58</v>
      </c>
      <c r="C69" s="6">
        <v>6</v>
      </c>
      <c r="D69" s="6" t="s">
        <v>27</v>
      </c>
      <c r="E69" s="7">
        <v>7597</v>
      </c>
      <c r="F69" s="6">
        <v>18.7</v>
      </c>
      <c r="G69" s="8">
        <v>4.3999999999999997E-2</v>
      </c>
      <c r="J69"/>
      <c r="U69"/>
    </row>
    <row r="70" spans="2:21" ht="15" x14ac:dyDescent="0.25">
      <c r="B70" s="6" t="s">
        <v>58</v>
      </c>
      <c r="C70" s="6">
        <v>7</v>
      </c>
      <c r="D70" s="6" t="s">
        <v>25</v>
      </c>
      <c r="E70" s="7">
        <v>7401</v>
      </c>
      <c r="F70" s="6">
        <v>18.2</v>
      </c>
      <c r="G70" s="8">
        <v>4.2999999999999997E-2</v>
      </c>
      <c r="J70"/>
      <c r="U70"/>
    </row>
    <row r="71" spans="2:21" ht="15" x14ac:dyDescent="0.25">
      <c r="B71" s="6" t="s">
        <v>58</v>
      </c>
      <c r="C71" s="6">
        <v>8</v>
      </c>
      <c r="D71" s="6" t="s">
        <v>21</v>
      </c>
      <c r="E71" s="7">
        <v>5755</v>
      </c>
      <c r="F71" s="6">
        <v>14.1</v>
      </c>
      <c r="G71" s="8">
        <v>3.3000000000000002E-2</v>
      </c>
      <c r="J71"/>
      <c r="U71"/>
    </row>
    <row r="72" spans="2:21" ht="15" x14ac:dyDescent="0.25">
      <c r="B72" s="6" t="s">
        <v>58</v>
      </c>
      <c r="C72" s="6">
        <v>9</v>
      </c>
      <c r="D72" s="6" t="s">
        <v>26</v>
      </c>
      <c r="E72" s="7">
        <v>3174</v>
      </c>
      <c r="F72" s="6">
        <v>7.8</v>
      </c>
      <c r="G72" s="8">
        <v>1.7999999999999999E-2</v>
      </c>
      <c r="J72"/>
      <c r="U72"/>
    </row>
    <row r="73" spans="2:21" ht="15" x14ac:dyDescent="0.25">
      <c r="B73" s="6" t="s">
        <v>58</v>
      </c>
      <c r="C73" s="6">
        <v>10</v>
      </c>
      <c r="D73" s="6" t="s">
        <v>17</v>
      </c>
      <c r="E73" s="7">
        <v>2768</v>
      </c>
      <c r="F73" s="6">
        <v>6.8</v>
      </c>
      <c r="G73" s="8">
        <v>1.6E-2</v>
      </c>
      <c r="J73"/>
      <c r="U73"/>
    </row>
    <row r="74" spans="2:21" ht="15" x14ac:dyDescent="0.25">
      <c r="B74" s="9" t="s">
        <v>59</v>
      </c>
      <c r="C74" s="6">
        <v>1</v>
      </c>
      <c r="D74" s="6" t="s">
        <v>10</v>
      </c>
      <c r="E74" s="6">
        <v>827</v>
      </c>
      <c r="F74" s="6">
        <v>4.0999999999999996</v>
      </c>
      <c r="G74" s="8">
        <v>0.45800000000000002</v>
      </c>
      <c r="J74"/>
      <c r="U74"/>
    </row>
    <row r="75" spans="2:21" ht="15" x14ac:dyDescent="0.25">
      <c r="B75" s="9" t="s">
        <v>59</v>
      </c>
      <c r="C75" s="6">
        <v>2</v>
      </c>
      <c r="D75" s="6" t="s">
        <v>18</v>
      </c>
      <c r="E75" s="6">
        <v>347</v>
      </c>
      <c r="F75" s="6">
        <v>1.7</v>
      </c>
      <c r="G75" s="8">
        <v>0.192</v>
      </c>
      <c r="J75"/>
      <c r="U75"/>
    </row>
    <row r="76" spans="2:21" ht="15" x14ac:dyDescent="0.25">
      <c r="B76" s="9" t="s">
        <v>59</v>
      </c>
      <c r="C76" s="6">
        <v>3</v>
      </c>
      <c r="D76" s="6" t="s">
        <v>17</v>
      </c>
      <c r="E76" s="6">
        <v>188</v>
      </c>
      <c r="F76" s="6">
        <v>0.9</v>
      </c>
      <c r="G76" s="8">
        <v>0.104</v>
      </c>
      <c r="J76"/>
      <c r="U76"/>
    </row>
    <row r="77" spans="2:21" ht="15" x14ac:dyDescent="0.25">
      <c r="B77" s="9" t="s">
        <v>59</v>
      </c>
      <c r="C77" s="6">
        <v>4</v>
      </c>
      <c r="D77" s="6" t="s">
        <v>7</v>
      </c>
      <c r="E77" s="6">
        <v>171</v>
      </c>
      <c r="F77" s="6">
        <v>0.8</v>
      </c>
      <c r="G77" s="8">
        <v>9.5000000000000001E-2</v>
      </c>
      <c r="J77"/>
      <c r="U77"/>
    </row>
    <row r="78" spans="2:21" ht="15" x14ac:dyDescent="0.25">
      <c r="B78" s="9" t="s">
        <v>59</v>
      </c>
      <c r="C78" s="6">
        <v>5</v>
      </c>
      <c r="D78" s="6" t="s">
        <v>19</v>
      </c>
      <c r="E78" s="6">
        <v>66</v>
      </c>
      <c r="F78" s="6">
        <v>0.3</v>
      </c>
      <c r="G78" s="8">
        <v>3.6999999999999998E-2</v>
      </c>
      <c r="J78"/>
      <c r="U78"/>
    </row>
    <row r="79" spans="2:21" ht="15" x14ac:dyDescent="0.25">
      <c r="B79" s="9" t="s">
        <v>59</v>
      </c>
      <c r="C79" s="6">
        <v>6</v>
      </c>
      <c r="D79" s="6" t="s">
        <v>22</v>
      </c>
      <c r="E79" s="6">
        <v>63</v>
      </c>
      <c r="F79" s="6">
        <v>0.3</v>
      </c>
      <c r="G79" s="8">
        <v>3.5000000000000003E-2</v>
      </c>
      <c r="J79"/>
      <c r="U79"/>
    </row>
    <row r="80" spans="2:21" ht="15" x14ac:dyDescent="0.25">
      <c r="B80" s="9" t="s">
        <v>59</v>
      </c>
      <c r="C80" s="6">
        <v>7</v>
      </c>
      <c r="D80" s="6" t="s">
        <v>26</v>
      </c>
      <c r="E80" s="6">
        <v>54</v>
      </c>
      <c r="F80" s="6">
        <v>0.3</v>
      </c>
      <c r="G80" s="8">
        <v>0.03</v>
      </c>
      <c r="J80"/>
      <c r="U80"/>
    </row>
    <row r="81" spans="2:21" ht="15" x14ac:dyDescent="0.25">
      <c r="B81" s="9" t="s">
        <v>59</v>
      </c>
      <c r="C81" s="6">
        <v>8</v>
      </c>
      <c r="D81" s="6" t="s">
        <v>21</v>
      </c>
      <c r="E81" s="6">
        <v>35</v>
      </c>
      <c r="F81" s="6">
        <v>0.2</v>
      </c>
      <c r="G81" s="8">
        <v>1.9E-2</v>
      </c>
      <c r="J81"/>
      <c r="U81"/>
    </row>
    <row r="82" spans="2:21" ht="15" x14ac:dyDescent="0.25">
      <c r="B82" s="9" t="s">
        <v>59</v>
      </c>
      <c r="C82" s="6">
        <v>9</v>
      </c>
      <c r="D82" s="6" t="s">
        <v>33</v>
      </c>
      <c r="E82" s="6">
        <v>28</v>
      </c>
      <c r="F82" s="6">
        <v>0.1</v>
      </c>
      <c r="G82" s="8">
        <v>1.6E-2</v>
      </c>
      <c r="J82"/>
      <c r="U82"/>
    </row>
    <row r="83" spans="2:21" ht="15" x14ac:dyDescent="0.25">
      <c r="B83" s="9" t="s">
        <v>59</v>
      </c>
      <c r="C83" s="6">
        <v>10</v>
      </c>
      <c r="D83" s="6" t="s">
        <v>23</v>
      </c>
      <c r="E83" s="6">
        <v>27</v>
      </c>
      <c r="F83" s="6">
        <v>0.1</v>
      </c>
      <c r="G83" s="8">
        <v>1.4999999999999999E-2</v>
      </c>
      <c r="J83"/>
      <c r="U83"/>
    </row>
    <row r="84" spans="2:21" ht="15" x14ac:dyDescent="0.25">
      <c r="B84" s="6" t="s">
        <v>60</v>
      </c>
      <c r="C84" s="6">
        <v>1</v>
      </c>
      <c r="D84" s="6" t="s">
        <v>18</v>
      </c>
      <c r="E84" s="7">
        <v>108023</v>
      </c>
      <c r="F84" s="6">
        <v>252.4</v>
      </c>
      <c r="G84" s="8">
        <v>0.27900000000000003</v>
      </c>
      <c r="J84"/>
      <c r="U84"/>
    </row>
    <row r="85" spans="2:21" ht="15" x14ac:dyDescent="0.25">
      <c r="B85" s="6" t="s">
        <v>60</v>
      </c>
      <c r="C85" s="6">
        <v>2</v>
      </c>
      <c r="D85" s="6" t="s">
        <v>19</v>
      </c>
      <c r="E85" s="7">
        <v>89342</v>
      </c>
      <c r="F85" s="6">
        <v>208.7</v>
      </c>
      <c r="G85" s="8">
        <v>0.23100000000000001</v>
      </c>
      <c r="J85"/>
      <c r="U85"/>
    </row>
    <row r="86" spans="2:21" ht="15" x14ac:dyDescent="0.25">
      <c r="B86" s="6" t="s">
        <v>60</v>
      </c>
      <c r="C86" s="6">
        <v>3</v>
      </c>
      <c r="D86" s="6" t="s">
        <v>22</v>
      </c>
      <c r="E86" s="7">
        <v>73725</v>
      </c>
      <c r="F86" s="6">
        <v>172.2</v>
      </c>
      <c r="G86" s="8">
        <v>0.191</v>
      </c>
      <c r="J86"/>
      <c r="U86"/>
    </row>
    <row r="87" spans="2:21" ht="15" x14ac:dyDescent="0.25">
      <c r="B87" s="6" t="s">
        <v>60</v>
      </c>
      <c r="C87" s="6">
        <v>4</v>
      </c>
      <c r="D87" s="6" t="s">
        <v>10</v>
      </c>
      <c r="E87" s="7">
        <v>33471</v>
      </c>
      <c r="F87" s="6">
        <v>78.2</v>
      </c>
      <c r="G87" s="8">
        <v>8.6999999999999994E-2</v>
      </c>
      <c r="J87"/>
      <c r="U87"/>
    </row>
    <row r="88" spans="2:21" ht="15" x14ac:dyDescent="0.25">
      <c r="B88" s="6" t="s">
        <v>60</v>
      </c>
      <c r="C88" s="6">
        <v>5</v>
      </c>
      <c r="D88" s="6" t="s">
        <v>27</v>
      </c>
      <c r="E88" s="7">
        <v>18603</v>
      </c>
      <c r="F88" s="6">
        <v>43.5</v>
      </c>
      <c r="G88" s="8">
        <v>4.8000000000000001E-2</v>
      </c>
      <c r="J88"/>
      <c r="U88"/>
    </row>
    <row r="89" spans="2:21" ht="15" x14ac:dyDescent="0.25">
      <c r="B89" s="6" t="s">
        <v>60</v>
      </c>
      <c r="C89" s="6">
        <v>6</v>
      </c>
      <c r="D89" s="6" t="s">
        <v>31</v>
      </c>
      <c r="E89" s="7">
        <v>17664</v>
      </c>
      <c r="F89" s="6">
        <v>41.3</v>
      </c>
      <c r="G89" s="8">
        <v>4.5999999999999999E-2</v>
      </c>
      <c r="J89"/>
      <c r="U89"/>
    </row>
    <row r="90" spans="2:21" ht="15" x14ac:dyDescent="0.25">
      <c r="B90" s="6" t="s">
        <v>60</v>
      </c>
      <c r="C90" s="6">
        <v>7</v>
      </c>
      <c r="D90" s="6" t="s">
        <v>26</v>
      </c>
      <c r="E90" s="7">
        <v>17620</v>
      </c>
      <c r="F90" s="6">
        <v>41.2</v>
      </c>
      <c r="G90" s="8">
        <v>4.5999999999999999E-2</v>
      </c>
      <c r="J90"/>
      <c r="U90"/>
    </row>
    <row r="91" spans="2:21" ht="15" x14ac:dyDescent="0.25">
      <c r="B91" s="6" t="s">
        <v>60</v>
      </c>
      <c r="C91" s="6">
        <v>8</v>
      </c>
      <c r="D91" s="6" t="s">
        <v>21</v>
      </c>
      <c r="E91" s="7">
        <v>14634</v>
      </c>
      <c r="F91" s="6">
        <v>34.200000000000003</v>
      </c>
      <c r="G91" s="8">
        <v>3.7999999999999999E-2</v>
      </c>
      <c r="J91"/>
      <c r="U91"/>
    </row>
    <row r="92" spans="2:21" ht="15" x14ac:dyDescent="0.25">
      <c r="B92" s="6" t="s">
        <v>60</v>
      </c>
      <c r="C92" s="6">
        <v>9</v>
      </c>
      <c r="D92" s="6" t="s">
        <v>25</v>
      </c>
      <c r="E92" s="7">
        <v>7267</v>
      </c>
      <c r="F92" s="6">
        <v>17</v>
      </c>
      <c r="G92" s="8">
        <v>1.9E-2</v>
      </c>
      <c r="J92"/>
      <c r="U92"/>
    </row>
    <row r="93" spans="2:21" ht="15" x14ac:dyDescent="0.25">
      <c r="B93" s="6" t="s">
        <v>60</v>
      </c>
      <c r="C93" s="6">
        <v>10</v>
      </c>
      <c r="D93" s="6" t="s">
        <v>33</v>
      </c>
      <c r="E93" s="7">
        <v>6477</v>
      </c>
      <c r="F93" s="6">
        <v>15.1</v>
      </c>
      <c r="G93" s="8">
        <v>1.7000000000000001E-2</v>
      </c>
      <c r="J93"/>
      <c r="U93"/>
    </row>
    <row r="94" spans="2:21" ht="15" x14ac:dyDescent="0.25">
      <c r="B94" s="6" t="s">
        <v>61</v>
      </c>
      <c r="C94" s="6">
        <v>1</v>
      </c>
      <c r="D94" s="6" t="s">
        <v>19</v>
      </c>
      <c r="E94" s="7">
        <v>553214</v>
      </c>
      <c r="F94" s="6">
        <v>990.6</v>
      </c>
      <c r="G94" s="8">
        <v>0.29399999999999998</v>
      </c>
      <c r="J94"/>
      <c r="U94"/>
    </row>
    <row r="95" spans="2:21" ht="15" x14ac:dyDescent="0.25">
      <c r="B95" s="6" t="s">
        <v>61</v>
      </c>
      <c r="C95" s="6">
        <v>2</v>
      </c>
      <c r="D95" s="6" t="s">
        <v>18</v>
      </c>
      <c r="E95" s="7">
        <v>446354</v>
      </c>
      <c r="F95" s="6">
        <v>799.2</v>
      </c>
      <c r="G95" s="8">
        <v>0.23699999999999999</v>
      </c>
      <c r="J95"/>
      <c r="U95"/>
    </row>
    <row r="96" spans="2:21" ht="15" x14ac:dyDescent="0.25">
      <c r="B96" s="6" t="s">
        <v>61</v>
      </c>
      <c r="C96" s="6">
        <v>3</v>
      </c>
      <c r="D96" s="6" t="s">
        <v>22</v>
      </c>
      <c r="E96" s="7">
        <v>282457</v>
      </c>
      <c r="F96" s="6">
        <v>505.8</v>
      </c>
      <c r="G96" s="8">
        <v>0.15</v>
      </c>
      <c r="J96"/>
      <c r="U96"/>
    </row>
    <row r="97" spans="2:21" ht="15" x14ac:dyDescent="0.25">
      <c r="B97" s="6" t="s">
        <v>61</v>
      </c>
      <c r="C97" s="6">
        <v>4</v>
      </c>
      <c r="D97" s="6" t="s">
        <v>21</v>
      </c>
      <c r="E97" s="7">
        <v>139257</v>
      </c>
      <c r="F97" s="6">
        <v>249.4</v>
      </c>
      <c r="G97" s="8">
        <v>7.3999999999999996E-2</v>
      </c>
      <c r="J97"/>
      <c r="U97"/>
    </row>
    <row r="98" spans="2:21" ht="15" x14ac:dyDescent="0.25">
      <c r="B98" s="6" t="s">
        <v>61</v>
      </c>
      <c r="C98" s="6">
        <v>5</v>
      </c>
      <c r="D98" s="6" t="s">
        <v>26</v>
      </c>
      <c r="E98" s="7">
        <v>120152</v>
      </c>
      <c r="F98" s="6">
        <v>215.1</v>
      </c>
      <c r="G98" s="8">
        <v>6.4000000000000001E-2</v>
      </c>
      <c r="J98"/>
      <c r="U98"/>
    </row>
    <row r="99" spans="2:21" ht="15" x14ac:dyDescent="0.25">
      <c r="B99" s="6" t="s">
        <v>61</v>
      </c>
      <c r="C99" s="6">
        <v>6</v>
      </c>
      <c r="D99" s="6" t="s">
        <v>37</v>
      </c>
      <c r="E99" s="7">
        <v>117922</v>
      </c>
      <c r="F99" s="6">
        <v>211.1</v>
      </c>
      <c r="G99" s="8">
        <v>6.3E-2</v>
      </c>
      <c r="J99"/>
      <c r="U99"/>
    </row>
    <row r="100" spans="2:21" ht="15" x14ac:dyDescent="0.25">
      <c r="B100" s="6" t="s">
        <v>61</v>
      </c>
      <c r="C100" s="6">
        <v>7</v>
      </c>
      <c r="D100" s="6" t="s">
        <v>27</v>
      </c>
      <c r="E100" s="7">
        <v>72451</v>
      </c>
      <c r="F100" s="6">
        <v>129.69999999999999</v>
      </c>
      <c r="G100" s="8">
        <v>3.7999999999999999E-2</v>
      </c>
      <c r="J100"/>
      <c r="U100"/>
    </row>
    <row r="101" spans="2:21" ht="15" x14ac:dyDescent="0.25">
      <c r="B101" s="6" t="s">
        <v>61</v>
      </c>
      <c r="C101" s="6">
        <v>8</v>
      </c>
      <c r="D101" s="6" t="s">
        <v>10</v>
      </c>
      <c r="E101" s="7">
        <v>69003</v>
      </c>
      <c r="F101" s="6">
        <v>123.6</v>
      </c>
      <c r="G101" s="8">
        <v>3.6999999999999998E-2</v>
      </c>
      <c r="J101"/>
      <c r="U101"/>
    </row>
    <row r="102" spans="2:21" ht="15" x14ac:dyDescent="0.25">
      <c r="B102" s="6" t="s">
        <v>61</v>
      </c>
      <c r="C102" s="6">
        <v>9</v>
      </c>
      <c r="D102" s="6" t="s">
        <v>38</v>
      </c>
      <c r="E102" s="7">
        <v>44013</v>
      </c>
      <c r="F102" s="6">
        <v>78.8</v>
      </c>
      <c r="G102" s="8">
        <v>2.3E-2</v>
      </c>
      <c r="J102"/>
      <c r="U102"/>
    </row>
    <row r="103" spans="2:21" ht="15" x14ac:dyDescent="0.25">
      <c r="B103" s="6" t="s">
        <v>61</v>
      </c>
      <c r="C103" s="6">
        <v>10</v>
      </c>
      <c r="D103" s="6" t="s">
        <v>39</v>
      </c>
      <c r="E103" s="7">
        <v>37568</v>
      </c>
      <c r="F103" s="6">
        <v>67.3</v>
      </c>
      <c r="G103" s="8">
        <v>0.02</v>
      </c>
      <c r="J103"/>
      <c r="U103"/>
    </row>
    <row r="104" spans="2:21" ht="15" x14ac:dyDescent="0.25">
      <c r="B104" s="6" t="s">
        <v>40</v>
      </c>
      <c r="C104" s="6">
        <v>1</v>
      </c>
      <c r="D104" s="6" t="s">
        <v>19</v>
      </c>
      <c r="E104" s="7">
        <v>695547</v>
      </c>
      <c r="F104" s="6">
        <v>209.6</v>
      </c>
      <c r="G104" s="8">
        <v>0.26900000000000002</v>
      </c>
      <c r="J104"/>
      <c r="U104"/>
    </row>
    <row r="105" spans="2:21" ht="15" x14ac:dyDescent="0.25">
      <c r="B105" s="6" t="s">
        <v>40</v>
      </c>
      <c r="C105" s="6">
        <v>2</v>
      </c>
      <c r="D105" s="6" t="s">
        <v>18</v>
      </c>
      <c r="E105" s="7">
        <v>605213</v>
      </c>
      <c r="F105" s="6">
        <v>182.4</v>
      </c>
      <c r="G105" s="8">
        <v>0.23400000000000001</v>
      </c>
      <c r="J105"/>
      <c r="U105"/>
    </row>
    <row r="106" spans="2:21" ht="15" x14ac:dyDescent="0.25">
      <c r="B106" s="6" t="s">
        <v>40</v>
      </c>
      <c r="C106" s="6">
        <v>3</v>
      </c>
      <c r="D106" s="6" t="s">
        <v>22</v>
      </c>
      <c r="E106" s="7">
        <v>416893</v>
      </c>
      <c r="F106" s="6">
        <v>125.6</v>
      </c>
      <c r="G106" s="8">
        <v>0.161</v>
      </c>
      <c r="J106"/>
      <c r="U106"/>
    </row>
    <row r="107" spans="2:21" ht="15" x14ac:dyDescent="0.25">
      <c r="B107" s="6" t="s">
        <v>40</v>
      </c>
      <c r="C107" s="6">
        <v>4</v>
      </c>
      <c r="D107" s="6" t="s">
        <v>10</v>
      </c>
      <c r="E107" s="7">
        <v>224935</v>
      </c>
      <c r="F107" s="6">
        <v>67.8</v>
      </c>
      <c r="G107" s="8">
        <v>8.6999999999999994E-2</v>
      </c>
      <c r="J107"/>
      <c r="U107"/>
    </row>
    <row r="108" spans="2:21" ht="15" x14ac:dyDescent="0.25">
      <c r="B108" s="6" t="s">
        <v>40</v>
      </c>
      <c r="C108" s="6">
        <v>5</v>
      </c>
      <c r="D108" s="6" t="s">
        <v>21</v>
      </c>
      <c r="E108" s="7">
        <v>162890</v>
      </c>
      <c r="F108" s="6">
        <v>49.1</v>
      </c>
      <c r="G108" s="8">
        <v>6.3E-2</v>
      </c>
      <c r="J108"/>
      <c r="U108"/>
    </row>
    <row r="109" spans="2:21" ht="15" x14ac:dyDescent="0.25">
      <c r="B109" s="6" t="s">
        <v>40</v>
      </c>
      <c r="C109" s="6">
        <v>6</v>
      </c>
      <c r="D109" s="6" t="s">
        <v>26</v>
      </c>
      <c r="E109" s="7">
        <v>142342</v>
      </c>
      <c r="F109" s="6">
        <v>42.9</v>
      </c>
      <c r="G109" s="8">
        <v>5.5E-2</v>
      </c>
      <c r="J109"/>
      <c r="U109"/>
    </row>
    <row r="110" spans="2:21" ht="15" x14ac:dyDescent="0.25">
      <c r="B110" s="6" t="s">
        <v>40</v>
      </c>
      <c r="C110" s="6">
        <v>7</v>
      </c>
      <c r="D110" s="6" t="s">
        <v>37</v>
      </c>
      <c r="E110" s="7">
        <v>119399</v>
      </c>
      <c r="F110" s="6">
        <v>36</v>
      </c>
      <c r="G110" s="8">
        <v>4.5999999999999999E-2</v>
      </c>
      <c r="J110"/>
      <c r="U110"/>
    </row>
    <row r="111" spans="2:21" ht="15" x14ac:dyDescent="0.25">
      <c r="B111" s="6" t="s">
        <v>40</v>
      </c>
      <c r="C111" s="6">
        <v>8</v>
      </c>
      <c r="D111" s="6" t="s">
        <v>27</v>
      </c>
      <c r="E111" s="7">
        <v>103294</v>
      </c>
      <c r="F111" s="6">
        <v>31.1</v>
      </c>
      <c r="G111" s="8">
        <v>0.04</v>
      </c>
      <c r="J111"/>
      <c r="U111"/>
    </row>
    <row r="112" spans="2:21" ht="15" x14ac:dyDescent="0.25">
      <c r="B112" s="6" t="s">
        <v>40</v>
      </c>
      <c r="C112" s="6">
        <v>9</v>
      </c>
      <c r="D112" s="6" t="s">
        <v>31</v>
      </c>
      <c r="E112" s="7">
        <v>56585</v>
      </c>
      <c r="F112" s="6">
        <v>17</v>
      </c>
      <c r="G112" s="8">
        <v>2.1999999999999999E-2</v>
      </c>
      <c r="J112"/>
      <c r="U112"/>
    </row>
    <row r="113" spans="2:10" ht="15" x14ac:dyDescent="0.25">
      <c r="B113" s="6" t="s">
        <v>40</v>
      </c>
      <c r="C113" s="6">
        <v>10</v>
      </c>
      <c r="D113" s="6" t="s">
        <v>38</v>
      </c>
      <c r="E113" s="7">
        <v>54358</v>
      </c>
      <c r="F113" s="6">
        <v>16.399999999999999</v>
      </c>
      <c r="G113" s="8">
        <v>2.1000000000000001E-2</v>
      </c>
      <c r="J11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2"/>
  <sheetViews>
    <sheetView workbookViewId="0">
      <selection activeCell="D114" sqref="D114"/>
    </sheetView>
  </sheetViews>
  <sheetFormatPr defaultRowHeight="15" x14ac:dyDescent="0.25"/>
  <cols>
    <col min="6" max="6" width="11" bestFit="1" customWidth="1"/>
  </cols>
  <sheetData>
    <row r="1" spans="1:6" x14ac:dyDescent="0.25">
      <c r="A1" t="s">
        <v>0</v>
      </c>
      <c r="B1" t="s">
        <v>1</v>
      </c>
      <c r="C1" t="s">
        <v>2</v>
      </c>
      <c r="D1" t="s">
        <v>3</v>
      </c>
      <c r="E1" t="s">
        <v>4</v>
      </c>
      <c r="F1" t="s">
        <v>5</v>
      </c>
    </row>
    <row r="2" spans="1:6" x14ac:dyDescent="0.25">
      <c r="A2" t="s">
        <v>6</v>
      </c>
      <c r="B2">
        <v>1</v>
      </c>
      <c r="C2" t="s">
        <v>7</v>
      </c>
      <c r="D2" s="1">
        <v>3963</v>
      </c>
      <c r="E2">
        <v>111.2</v>
      </c>
      <c r="F2" s="2">
        <v>0.3</v>
      </c>
    </row>
    <row r="3" spans="1:6" x14ac:dyDescent="0.25">
      <c r="A3" t="s">
        <v>6</v>
      </c>
      <c r="B3">
        <v>2</v>
      </c>
      <c r="C3" t="s">
        <v>8</v>
      </c>
      <c r="D3" s="1">
        <v>2946</v>
      </c>
      <c r="E3">
        <v>82.6</v>
      </c>
      <c r="F3" s="2">
        <v>0.223</v>
      </c>
    </row>
    <row r="4" spans="1:6" x14ac:dyDescent="0.25">
      <c r="A4" t="s">
        <v>6</v>
      </c>
      <c r="B4">
        <v>3</v>
      </c>
      <c r="C4" t="s">
        <v>9</v>
      </c>
      <c r="D4" s="1">
        <v>1459</v>
      </c>
      <c r="E4">
        <v>40.9</v>
      </c>
      <c r="F4" s="2">
        <v>0.111</v>
      </c>
    </row>
    <row r="5" spans="1:6" x14ac:dyDescent="0.25">
      <c r="A5" t="s">
        <v>6</v>
      </c>
      <c r="B5">
        <v>4</v>
      </c>
      <c r="C5" t="s">
        <v>10</v>
      </c>
      <c r="D5" s="1">
        <v>1306</v>
      </c>
      <c r="E5">
        <v>36.6</v>
      </c>
      <c r="F5" s="2">
        <v>9.9000000000000005E-2</v>
      </c>
    </row>
    <row r="6" spans="1:6" x14ac:dyDescent="0.25">
      <c r="A6" t="s">
        <v>6</v>
      </c>
      <c r="B6">
        <v>5</v>
      </c>
      <c r="C6" t="s">
        <v>11</v>
      </c>
      <c r="D6" s="1">
        <v>1113</v>
      </c>
      <c r="E6">
        <v>31.2</v>
      </c>
      <c r="F6" s="2">
        <v>8.4000000000000005E-2</v>
      </c>
    </row>
    <row r="7" spans="1:6" x14ac:dyDescent="0.25">
      <c r="A7" t="s">
        <v>6</v>
      </c>
      <c r="B7">
        <v>6</v>
      </c>
      <c r="C7" t="s">
        <v>12</v>
      </c>
      <c r="D7">
        <v>672</v>
      </c>
      <c r="E7">
        <v>18.899999999999999</v>
      </c>
      <c r="F7" s="2">
        <v>5.0999999999999997E-2</v>
      </c>
    </row>
    <row r="8" spans="1:6" x14ac:dyDescent="0.25">
      <c r="A8" t="s">
        <v>6</v>
      </c>
      <c r="B8">
        <v>7</v>
      </c>
      <c r="C8" t="s">
        <v>13</v>
      </c>
      <c r="D8">
        <v>557</v>
      </c>
      <c r="E8">
        <v>15.6</v>
      </c>
      <c r="F8" s="2">
        <v>4.2000000000000003E-2</v>
      </c>
    </row>
    <row r="9" spans="1:6" x14ac:dyDescent="0.25">
      <c r="A9" t="s">
        <v>6</v>
      </c>
      <c r="B9">
        <v>8</v>
      </c>
      <c r="C9" t="s">
        <v>14</v>
      </c>
      <c r="D9">
        <v>414</v>
      </c>
      <c r="E9">
        <v>11.6</v>
      </c>
      <c r="F9" s="2">
        <v>3.1E-2</v>
      </c>
    </row>
    <row r="10" spans="1:6" x14ac:dyDescent="0.25">
      <c r="A10" t="s">
        <v>6</v>
      </c>
      <c r="B10">
        <v>9</v>
      </c>
      <c r="C10" t="s">
        <v>15</v>
      </c>
      <c r="D10">
        <v>402</v>
      </c>
      <c r="E10">
        <v>11.3</v>
      </c>
      <c r="F10" s="2">
        <v>0.03</v>
      </c>
    </row>
    <row r="11" spans="1:6" x14ac:dyDescent="0.25">
      <c r="A11" t="s">
        <v>6</v>
      </c>
      <c r="B11">
        <v>10</v>
      </c>
      <c r="C11" t="s">
        <v>16</v>
      </c>
      <c r="D11">
        <v>358</v>
      </c>
      <c r="E11">
        <v>10</v>
      </c>
      <c r="F11" s="2">
        <v>2.7E-2</v>
      </c>
    </row>
    <row r="12" spans="1:6" x14ac:dyDescent="0.25">
      <c r="A12" s="3">
        <v>45383</v>
      </c>
      <c r="B12">
        <v>1</v>
      </c>
      <c r="C12" t="s">
        <v>10</v>
      </c>
      <c r="D12" s="1">
        <v>1299</v>
      </c>
      <c r="E12">
        <v>8.5</v>
      </c>
      <c r="F12" s="2">
        <v>0.48499999999999999</v>
      </c>
    </row>
    <row r="13" spans="1:6" x14ac:dyDescent="0.25">
      <c r="A13" s="3">
        <v>45383</v>
      </c>
      <c r="B13">
        <v>2</v>
      </c>
      <c r="C13" t="s">
        <v>7</v>
      </c>
      <c r="D13">
        <v>412</v>
      </c>
      <c r="E13">
        <v>2.7</v>
      </c>
      <c r="F13" s="2">
        <v>0.154</v>
      </c>
    </row>
    <row r="14" spans="1:6" x14ac:dyDescent="0.25">
      <c r="A14" s="3">
        <v>45383</v>
      </c>
      <c r="B14">
        <v>3</v>
      </c>
      <c r="C14" t="s">
        <v>17</v>
      </c>
      <c r="D14">
        <v>309</v>
      </c>
      <c r="E14">
        <v>2</v>
      </c>
      <c r="F14" s="2">
        <v>0.115</v>
      </c>
    </row>
    <row r="15" spans="1:6" x14ac:dyDescent="0.25">
      <c r="A15" s="3">
        <v>45383</v>
      </c>
      <c r="B15">
        <v>4</v>
      </c>
      <c r="C15" t="s">
        <v>18</v>
      </c>
      <c r="D15">
        <v>282</v>
      </c>
      <c r="E15">
        <v>1.8</v>
      </c>
      <c r="F15" s="2">
        <v>0.105</v>
      </c>
    </row>
    <row r="16" spans="1:6" x14ac:dyDescent="0.25">
      <c r="A16" s="3">
        <v>45383</v>
      </c>
      <c r="B16">
        <v>5</v>
      </c>
      <c r="C16" t="s">
        <v>19</v>
      </c>
      <c r="D16">
        <v>116</v>
      </c>
      <c r="E16">
        <v>0.8</v>
      </c>
      <c r="F16" s="2">
        <v>4.2999999999999997E-2</v>
      </c>
    </row>
    <row r="17" spans="1:6" x14ac:dyDescent="0.25">
      <c r="A17" s="3">
        <v>45383</v>
      </c>
      <c r="B17">
        <v>6</v>
      </c>
      <c r="C17" t="s">
        <v>20</v>
      </c>
      <c r="D17">
        <v>68</v>
      </c>
      <c r="E17">
        <v>0.4</v>
      </c>
      <c r="F17" s="2">
        <v>2.5000000000000001E-2</v>
      </c>
    </row>
    <row r="18" spans="1:6" x14ac:dyDescent="0.25">
      <c r="A18" s="3">
        <v>45383</v>
      </c>
      <c r="B18">
        <v>7</v>
      </c>
      <c r="C18" t="s">
        <v>21</v>
      </c>
      <c r="D18">
        <v>55</v>
      </c>
      <c r="E18">
        <v>0.4</v>
      </c>
      <c r="F18" s="2">
        <v>2.1000000000000001E-2</v>
      </c>
    </row>
    <row r="19" spans="1:6" x14ac:dyDescent="0.25">
      <c r="A19" s="3">
        <v>45383</v>
      </c>
      <c r="B19">
        <v>8</v>
      </c>
      <c r="C19" t="s">
        <v>22</v>
      </c>
      <c r="D19">
        <v>54</v>
      </c>
      <c r="E19">
        <v>0.4</v>
      </c>
      <c r="F19" s="2">
        <v>0.02</v>
      </c>
    </row>
    <row r="20" spans="1:6" x14ac:dyDescent="0.25">
      <c r="A20" s="3">
        <v>45383</v>
      </c>
      <c r="B20">
        <v>9</v>
      </c>
      <c r="C20" t="s">
        <v>23</v>
      </c>
      <c r="D20">
        <v>47</v>
      </c>
      <c r="E20">
        <v>0.3</v>
      </c>
      <c r="F20" s="2">
        <v>1.7999999999999999E-2</v>
      </c>
    </row>
    <row r="21" spans="1:6" x14ac:dyDescent="0.25">
      <c r="A21" s="3">
        <v>45383</v>
      </c>
      <c r="B21">
        <v>10</v>
      </c>
      <c r="C21" t="s">
        <v>24</v>
      </c>
      <c r="D21">
        <v>37</v>
      </c>
      <c r="E21">
        <v>0.2</v>
      </c>
      <c r="F21" s="2">
        <v>1.4E-2</v>
      </c>
    </row>
    <row r="22" spans="1:6" x14ac:dyDescent="0.25">
      <c r="A22" s="4">
        <v>41913</v>
      </c>
      <c r="B22">
        <v>1</v>
      </c>
      <c r="C22" t="s">
        <v>10</v>
      </c>
      <c r="D22">
        <v>915</v>
      </c>
      <c r="E22">
        <v>4.3</v>
      </c>
      <c r="F22" s="2">
        <v>0.32800000000000001</v>
      </c>
    </row>
    <row r="23" spans="1:6" x14ac:dyDescent="0.25">
      <c r="A23" s="4">
        <v>41913</v>
      </c>
      <c r="B23">
        <v>2</v>
      </c>
      <c r="C23" t="s">
        <v>25</v>
      </c>
      <c r="D23">
        <v>598</v>
      </c>
      <c r="E23">
        <v>2.8</v>
      </c>
      <c r="F23" s="2">
        <v>0.215</v>
      </c>
    </row>
    <row r="24" spans="1:6" x14ac:dyDescent="0.25">
      <c r="A24" s="4">
        <v>41913</v>
      </c>
      <c r="B24">
        <v>3</v>
      </c>
      <c r="C24" t="s">
        <v>18</v>
      </c>
      <c r="D24">
        <v>449</v>
      </c>
      <c r="E24">
        <v>2.1</v>
      </c>
      <c r="F24" s="2">
        <v>0.161</v>
      </c>
    </row>
    <row r="25" spans="1:6" x14ac:dyDescent="0.25">
      <c r="A25" s="4">
        <v>41913</v>
      </c>
      <c r="B25">
        <v>4</v>
      </c>
      <c r="C25" t="s">
        <v>17</v>
      </c>
      <c r="D25">
        <v>298</v>
      </c>
      <c r="E25">
        <v>1.4</v>
      </c>
      <c r="F25" s="2">
        <v>0.107</v>
      </c>
    </row>
    <row r="26" spans="1:6" x14ac:dyDescent="0.25">
      <c r="A26" s="4">
        <v>41913</v>
      </c>
      <c r="B26">
        <v>5</v>
      </c>
      <c r="C26" t="s">
        <v>7</v>
      </c>
      <c r="D26">
        <v>179</v>
      </c>
      <c r="E26">
        <v>0.8</v>
      </c>
      <c r="F26" s="2">
        <v>6.4000000000000001E-2</v>
      </c>
    </row>
    <row r="27" spans="1:6" x14ac:dyDescent="0.25">
      <c r="A27" s="4">
        <v>41913</v>
      </c>
      <c r="B27">
        <v>6</v>
      </c>
      <c r="C27" t="s">
        <v>19</v>
      </c>
      <c r="D27">
        <v>132</v>
      </c>
      <c r="E27">
        <v>0.6</v>
      </c>
      <c r="F27" s="2">
        <v>4.7E-2</v>
      </c>
    </row>
    <row r="28" spans="1:6" x14ac:dyDescent="0.25">
      <c r="A28" s="4">
        <v>41913</v>
      </c>
      <c r="B28">
        <v>7</v>
      </c>
      <c r="C28" t="s">
        <v>22</v>
      </c>
      <c r="D28">
        <v>79</v>
      </c>
      <c r="E28">
        <v>0.4</v>
      </c>
      <c r="F28" s="2">
        <v>2.8000000000000001E-2</v>
      </c>
    </row>
    <row r="29" spans="1:6" x14ac:dyDescent="0.25">
      <c r="A29" s="4">
        <v>41913</v>
      </c>
      <c r="B29">
        <v>8</v>
      </c>
      <c r="C29" t="s">
        <v>21</v>
      </c>
      <c r="D29">
        <v>53</v>
      </c>
      <c r="E29">
        <v>0.2</v>
      </c>
      <c r="F29" s="2">
        <v>1.9E-2</v>
      </c>
    </row>
    <row r="30" spans="1:6" x14ac:dyDescent="0.25">
      <c r="A30" s="4">
        <v>41913</v>
      </c>
      <c r="B30">
        <v>9</v>
      </c>
      <c r="C30" t="s">
        <v>26</v>
      </c>
      <c r="D30">
        <v>45</v>
      </c>
      <c r="E30">
        <v>0.2</v>
      </c>
      <c r="F30" s="2">
        <v>1.6E-2</v>
      </c>
    </row>
    <row r="31" spans="1:6" x14ac:dyDescent="0.25">
      <c r="A31" s="4">
        <v>41913</v>
      </c>
      <c r="B31">
        <v>10</v>
      </c>
      <c r="C31" t="s">
        <v>27</v>
      </c>
      <c r="D31">
        <v>39</v>
      </c>
      <c r="E31">
        <v>0.2</v>
      </c>
      <c r="F31" s="2">
        <v>1.4E-2</v>
      </c>
    </row>
    <row r="32" spans="1:6" x14ac:dyDescent="0.25">
      <c r="A32" t="s">
        <v>28</v>
      </c>
      <c r="B32">
        <v>1</v>
      </c>
      <c r="C32" t="s">
        <v>10</v>
      </c>
      <c r="D32" s="1">
        <v>15792</v>
      </c>
      <c r="E32">
        <v>36.700000000000003</v>
      </c>
      <c r="F32" s="2">
        <v>0.46700000000000003</v>
      </c>
    </row>
    <row r="33" spans="1:6" x14ac:dyDescent="0.25">
      <c r="A33" t="s">
        <v>28</v>
      </c>
      <c r="B33">
        <v>2</v>
      </c>
      <c r="C33" t="s">
        <v>17</v>
      </c>
      <c r="D33" s="1">
        <v>6635</v>
      </c>
      <c r="E33">
        <v>15.4</v>
      </c>
      <c r="F33" s="2">
        <v>0.19600000000000001</v>
      </c>
    </row>
    <row r="34" spans="1:6" x14ac:dyDescent="0.25">
      <c r="A34" t="s">
        <v>28</v>
      </c>
      <c r="B34">
        <v>3</v>
      </c>
      <c r="C34" t="s">
        <v>25</v>
      </c>
      <c r="D34" s="1">
        <v>6528</v>
      </c>
      <c r="E34">
        <v>15.2</v>
      </c>
      <c r="F34" s="2">
        <v>0.193</v>
      </c>
    </row>
    <row r="35" spans="1:6" x14ac:dyDescent="0.25">
      <c r="A35" t="s">
        <v>28</v>
      </c>
      <c r="B35">
        <v>4</v>
      </c>
      <c r="C35" t="s">
        <v>22</v>
      </c>
      <c r="D35" s="1">
        <v>1401</v>
      </c>
      <c r="E35">
        <v>3.3</v>
      </c>
      <c r="F35" s="2">
        <v>4.1000000000000002E-2</v>
      </c>
    </row>
    <row r="36" spans="1:6" x14ac:dyDescent="0.25">
      <c r="A36" t="s">
        <v>28</v>
      </c>
      <c r="B36">
        <v>5</v>
      </c>
      <c r="C36" t="s">
        <v>18</v>
      </c>
      <c r="D36" s="1">
        <v>1323</v>
      </c>
      <c r="E36">
        <v>3.1</v>
      </c>
      <c r="F36" s="2">
        <v>3.9E-2</v>
      </c>
    </row>
    <row r="37" spans="1:6" x14ac:dyDescent="0.25">
      <c r="A37" t="s">
        <v>28</v>
      </c>
      <c r="B37">
        <v>6</v>
      </c>
      <c r="C37" t="s">
        <v>19</v>
      </c>
      <c r="D37">
        <v>944</v>
      </c>
      <c r="E37">
        <v>2.2000000000000002</v>
      </c>
      <c r="F37" s="2">
        <v>2.8000000000000001E-2</v>
      </c>
    </row>
    <row r="38" spans="1:6" x14ac:dyDescent="0.25">
      <c r="A38" t="s">
        <v>28</v>
      </c>
      <c r="B38">
        <v>7</v>
      </c>
      <c r="C38" t="s">
        <v>7</v>
      </c>
      <c r="D38">
        <v>419</v>
      </c>
      <c r="E38">
        <v>1</v>
      </c>
      <c r="F38" s="2">
        <v>1.2E-2</v>
      </c>
    </row>
    <row r="39" spans="1:6" x14ac:dyDescent="0.25">
      <c r="A39" t="s">
        <v>28</v>
      </c>
      <c r="B39">
        <v>8</v>
      </c>
      <c r="C39" t="s">
        <v>27</v>
      </c>
      <c r="D39">
        <v>345</v>
      </c>
      <c r="E39">
        <v>0.8</v>
      </c>
      <c r="F39" s="2">
        <v>0.01</v>
      </c>
    </row>
    <row r="40" spans="1:6" x14ac:dyDescent="0.25">
      <c r="A40" t="s">
        <v>28</v>
      </c>
      <c r="B40">
        <v>9</v>
      </c>
      <c r="C40" t="s">
        <v>29</v>
      </c>
      <c r="D40">
        <v>214</v>
      </c>
      <c r="E40">
        <v>0.5</v>
      </c>
      <c r="F40" s="2">
        <v>6.0000000000000001E-3</v>
      </c>
    </row>
    <row r="41" spans="1:6" x14ac:dyDescent="0.25">
      <c r="A41" t="s">
        <v>28</v>
      </c>
      <c r="B41">
        <v>10</v>
      </c>
      <c r="C41" t="s">
        <v>21</v>
      </c>
      <c r="D41">
        <v>190</v>
      </c>
      <c r="E41">
        <v>0.4</v>
      </c>
      <c r="F41" s="2">
        <v>6.0000000000000001E-3</v>
      </c>
    </row>
    <row r="42" spans="1:6" x14ac:dyDescent="0.25">
      <c r="A42" t="s">
        <v>30</v>
      </c>
      <c r="B42">
        <v>1</v>
      </c>
      <c r="C42" t="s">
        <v>10</v>
      </c>
      <c r="D42" s="1">
        <v>34452</v>
      </c>
      <c r="E42">
        <v>75.7</v>
      </c>
      <c r="F42" s="2">
        <v>0.497</v>
      </c>
    </row>
    <row r="43" spans="1:6" x14ac:dyDescent="0.25">
      <c r="A43" t="s">
        <v>30</v>
      </c>
      <c r="B43">
        <v>2</v>
      </c>
      <c r="C43" t="s">
        <v>25</v>
      </c>
      <c r="D43" s="1">
        <v>8862</v>
      </c>
      <c r="E43">
        <v>19.5</v>
      </c>
      <c r="F43" s="2">
        <v>0.128</v>
      </c>
    </row>
    <row r="44" spans="1:6" x14ac:dyDescent="0.25">
      <c r="A44" t="s">
        <v>30</v>
      </c>
      <c r="B44">
        <v>3</v>
      </c>
      <c r="C44" t="s">
        <v>17</v>
      </c>
      <c r="D44" s="1">
        <v>7571</v>
      </c>
      <c r="E44">
        <v>16.600000000000001</v>
      </c>
      <c r="F44" s="2">
        <v>0.109</v>
      </c>
    </row>
    <row r="45" spans="1:6" x14ac:dyDescent="0.25">
      <c r="A45" t="s">
        <v>30</v>
      </c>
      <c r="B45">
        <v>4</v>
      </c>
      <c r="C45" t="s">
        <v>22</v>
      </c>
      <c r="D45" s="1">
        <v>6133</v>
      </c>
      <c r="E45">
        <v>13.5</v>
      </c>
      <c r="F45" s="2">
        <v>8.7999999999999995E-2</v>
      </c>
    </row>
    <row r="46" spans="1:6" x14ac:dyDescent="0.25">
      <c r="A46" t="s">
        <v>30</v>
      </c>
      <c r="B46">
        <v>5</v>
      </c>
      <c r="C46" t="s">
        <v>19</v>
      </c>
      <c r="D46" s="1">
        <v>4155</v>
      </c>
      <c r="E46">
        <v>9.1</v>
      </c>
      <c r="F46" s="2">
        <v>0.06</v>
      </c>
    </row>
    <row r="47" spans="1:6" x14ac:dyDescent="0.25">
      <c r="A47" t="s">
        <v>30</v>
      </c>
      <c r="B47">
        <v>6</v>
      </c>
      <c r="C47" t="s">
        <v>18</v>
      </c>
      <c r="D47" s="1">
        <v>3615</v>
      </c>
      <c r="E47">
        <v>7.9</v>
      </c>
      <c r="F47" s="2">
        <v>5.1999999999999998E-2</v>
      </c>
    </row>
    <row r="48" spans="1:6" x14ac:dyDescent="0.25">
      <c r="A48" t="s">
        <v>30</v>
      </c>
      <c r="B48">
        <v>7</v>
      </c>
      <c r="C48" t="s">
        <v>31</v>
      </c>
      <c r="D48" s="1">
        <v>1833</v>
      </c>
      <c r="E48">
        <v>4</v>
      </c>
      <c r="F48" s="2">
        <v>2.5999999999999999E-2</v>
      </c>
    </row>
    <row r="49" spans="1:6" x14ac:dyDescent="0.25">
      <c r="A49" t="s">
        <v>30</v>
      </c>
      <c r="B49">
        <v>8</v>
      </c>
      <c r="C49" t="s">
        <v>27</v>
      </c>
      <c r="D49" s="1">
        <v>1285</v>
      </c>
      <c r="E49">
        <v>2.8</v>
      </c>
      <c r="F49" s="2">
        <v>1.9E-2</v>
      </c>
    </row>
    <row r="50" spans="1:6" x14ac:dyDescent="0.25">
      <c r="A50" t="s">
        <v>30</v>
      </c>
      <c r="B50">
        <v>9</v>
      </c>
      <c r="C50" t="s">
        <v>29</v>
      </c>
      <c r="D50">
        <v>797</v>
      </c>
      <c r="E50">
        <v>1.8</v>
      </c>
      <c r="F50" s="2">
        <v>1.0999999999999999E-2</v>
      </c>
    </row>
    <row r="51" spans="1:6" x14ac:dyDescent="0.25">
      <c r="A51" t="s">
        <v>30</v>
      </c>
      <c r="B51">
        <v>10</v>
      </c>
      <c r="C51" t="s">
        <v>21</v>
      </c>
      <c r="D51">
        <v>624</v>
      </c>
      <c r="E51">
        <v>1.4</v>
      </c>
      <c r="F51" s="2">
        <v>8.9999999999999993E-3</v>
      </c>
    </row>
    <row r="52" spans="1:6" x14ac:dyDescent="0.25">
      <c r="A52" t="s">
        <v>32</v>
      </c>
      <c r="B52">
        <v>1</v>
      </c>
      <c r="C52" t="s">
        <v>10</v>
      </c>
      <c r="D52" s="1">
        <v>36444</v>
      </c>
      <c r="E52">
        <v>84</v>
      </c>
      <c r="F52" s="2">
        <v>0.36</v>
      </c>
    </row>
    <row r="53" spans="1:6" x14ac:dyDescent="0.25">
      <c r="A53" t="s">
        <v>32</v>
      </c>
      <c r="B53">
        <v>2</v>
      </c>
      <c r="C53" t="s">
        <v>22</v>
      </c>
      <c r="D53" s="1">
        <v>16006</v>
      </c>
      <c r="E53">
        <v>36.9</v>
      </c>
      <c r="F53" s="2">
        <v>0.158</v>
      </c>
    </row>
    <row r="54" spans="1:6" x14ac:dyDescent="0.25">
      <c r="A54" t="s">
        <v>32</v>
      </c>
      <c r="B54">
        <v>3</v>
      </c>
      <c r="C54" t="s">
        <v>19</v>
      </c>
      <c r="D54" s="1">
        <v>12754</v>
      </c>
      <c r="E54">
        <v>29.4</v>
      </c>
      <c r="F54" s="2">
        <v>0.126</v>
      </c>
    </row>
    <row r="55" spans="1:6" x14ac:dyDescent="0.25">
      <c r="A55" t="s">
        <v>32</v>
      </c>
      <c r="B55">
        <v>4</v>
      </c>
      <c r="C55" t="s">
        <v>18</v>
      </c>
      <c r="D55" s="1">
        <v>11194</v>
      </c>
      <c r="E55">
        <v>25.8</v>
      </c>
      <c r="F55" s="2">
        <v>0.111</v>
      </c>
    </row>
    <row r="56" spans="1:6" x14ac:dyDescent="0.25">
      <c r="A56" t="s">
        <v>32</v>
      </c>
      <c r="B56">
        <v>5</v>
      </c>
      <c r="C56" t="s">
        <v>25</v>
      </c>
      <c r="D56" s="1">
        <v>7862</v>
      </c>
      <c r="E56">
        <v>18.100000000000001</v>
      </c>
      <c r="F56" s="2">
        <v>7.8E-2</v>
      </c>
    </row>
    <row r="57" spans="1:6" x14ac:dyDescent="0.25">
      <c r="A57" t="s">
        <v>32</v>
      </c>
      <c r="B57">
        <v>6</v>
      </c>
      <c r="C57" t="s">
        <v>31</v>
      </c>
      <c r="D57" s="1">
        <v>5833</v>
      </c>
      <c r="E57">
        <v>13.4</v>
      </c>
      <c r="F57" s="2">
        <v>5.8000000000000003E-2</v>
      </c>
    </row>
    <row r="58" spans="1:6" x14ac:dyDescent="0.25">
      <c r="A58" t="s">
        <v>32</v>
      </c>
      <c r="B58">
        <v>7</v>
      </c>
      <c r="C58" t="s">
        <v>17</v>
      </c>
      <c r="D58" s="1">
        <v>4863</v>
      </c>
      <c r="E58">
        <v>11.2</v>
      </c>
      <c r="F58" s="2">
        <v>4.8000000000000001E-2</v>
      </c>
    </row>
    <row r="59" spans="1:6" x14ac:dyDescent="0.25">
      <c r="A59" t="s">
        <v>32</v>
      </c>
      <c r="B59">
        <v>8</v>
      </c>
      <c r="C59" t="s">
        <v>27</v>
      </c>
      <c r="D59" s="1">
        <v>2961</v>
      </c>
      <c r="E59">
        <v>6.8</v>
      </c>
      <c r="F59" s="2">
        <v>2.9000000000000001E-2</v>
      </c>
    </row>
    <row r="60" spans="1:6" x14ac:dyDescent="0.25">
      <c r="A60" t="s">
        <v>32</v>
      </c>
      <c r="B60">
        <v>9</v>
      </c>
      <c r="C60" t="s">
        <v>21</v>
      </c>
      <c r="D60" s="1">
        <v>2189</v>
      </c>
      <c r="E60">
        <v>5</v>
      </c>
      <c r="F60" s="2">
        <v>2.1999999999999999E-2</v>
      </c>
    </row>
    <row r="61" spans="1:6" x14ac:dyDescent="0.25">
      <c r="A61" t="s">
        <v>32</v>
      </c>
      <c r="B61">
        <v>10</v>
      </c>
      <c r="C61" t="s">
        <v>33</v>
      </c>
      <c r="D61" s="1">
        <v>1108</v>
      </c>
      <c r="E61">
        <v>2.6</v>
      </c>
      <c r="F61" s="2">
        <v>1.0999999999999999E-2</v>
      </c>
    </row>
    <row r="62" spans="1:6" x14ac:dyDescent="0.25">
      <c r="A62" t="s">
        <v>34</v>
      </c>
      <c r="B62">
        <v>1</v>
      </c>
      <c r="C62" t="s">
        <v>22</v>
      </c>
      <c r="D62" s="1">
        <v>36881</v>
      </c>
      <c r="E62">
        <v>90.6</v>
      </c>
      <c r="F62" s="2">
        <v>0.21199999999999999</v>
      </c>
    </row>
    <row r="63" spans="1:6" x14ac:dyDescent="0.25">
      <c r="A63" t="s">
        <v>34</v>
      </c>
      <c r="B63">
        <v>2</v>
      </c>
      <c r="C63" t="s">
        <v>19</v>
      </c>
      <c r="D63" s="1">
        <v>34535</v>
      </c>
      <c r="E63">
        <v>84.9</v>
      </c>
      <c r="F63" s="2">
        <v>0.19900000000000001</v>
      </c>
    </row>
    <row r="64" spans="1:6" x14ac:dyDescent="0.25">
      <c r="A64" t="s">
        <v>34</v>
      </c>
      <c r="B64">
        <v>3</v>
      </c>
      <c r="C64" t="s">
        <v>18</v>
      </c>
      <c r="D64" s="1">
        <v>33567</v>
      </c>
      <c r="E64">
        <v>82.5</v>
      </c>
      <c r="F64" s="2">
        <v>0.193</v>
      </c>
    </row>
    <row r="65" spans="1:6" x14ac:dyDescent="0.25">
      <c r="A65" t="s">
        <v>34</v>
      </c>
      <c r="B65">
        <v>4</v>
      </c>
      <c r="C65" t="s">
        <v>10</v>
      </c>
      <c r="D65" s="1">
        <v>31407</v>
      </c>
      <c r="E65">
        <v>77.2</v>
      </c>
      <c r="F65" s="2">
        <v>0.18099999999999999</v>
      </c>
    </row>
    <row r="66" spans="1:6" x14ac:dyDescent="0.25">
      <c r="A66" t="s">
        <v>34</v>
      </c>
      <c r="B66">
        <v>5</v>
      </c>
      <c r="C66" t="s">
        <v>31</v>
      </c>
      <c r="D66" s="1">
        <v>10501</v>
      </c>
      <c r="E66">
        <v>25.8</v>
      </c>
      <c r="F66" s="2">
        <v>0.06</v>
      </c>
    </row>
    <row r="67" spans="1:6" x14ac:dyDescent="0.25">
      <c r="A67" t="s">
        <v>34</v>
      </c>
      <c r="B67">
        <v>6</v>
      </c>
      <c r="C67" t="s">
        <v>27</v>
      </c>
      <c r="D67" s="1">
        <v>7597</v>
      </c>
      <c r="E67">
        <v>18.7</v>
      </c>
      <c r="F67" s="2">
        <v>4.3999999999999997E-2</v>
      </c>
    </row>
    <row r="68" spans="1:6" x14ac:dyDescent="0.25">
      <c r="A68" t="s">
        <v>34</v>
      </c>
      <c r="B68">
        <v>7</v>
      </c>
      <c r="C68" t="s">
        <v>25</v>
      </c>
      <c r="D68" s="1">
        <v>7401</v>
      </c>
      <c r="E68">
        <v>18.2</v>
      </c>
      <c r="F68" s="2">
        <v>4.2999999999999997E-2</v>
      </c>
    </row>
    <row r="69" spans="1:6" x14ac:dyDescent="0.25">
      <c r="A69" t="s">
        <v>34</v>
      </c>
      <c r="B69">
        <v>8</v>
      </c>
      <c r="C69" t="s">
        <v>21</v>
      </c>
      <c r="D69" s="1">
        <v>5755</v>
      </c>
      <c r="E69">
        <v>14.1</v>
      </c>
      <c r="F69" s="2">
        <v>3.3000000000000002E-2</v>
      </c>
    </row>
    <row r="70" spans="1:6" x14ac:dyDescent="0.25">
      <c r="A70" t="s">
        <v>34</v>
      </c>
      <c r="B70">
        <v>9</v>
      </c>
      <c r="C70" t="s">
        <v>26</v>
      </c>
      <c r="D70" s="1">
        <v>3174</v>
      </c>
      <c r="E70">
        <v>7.8</v>
      </c>
      <c r="F70" s="2">
        <v>1.7999999999999999E-2</v>
      </c>
    </row>
    <row r="71" spans="1:6" x14ac:dyDescent="0.25">
      <c r="A71" t="s">
        <v>34</v>
      </c>
      <c r="B71">
        <v>10</v>
      </c>
      <c r="C71" t="s">
        <v>17</v>
      </c>
      <c r="D71" s="1">
        <v>2768</v>
      </c>
      <c r="E71">
        <v>6.8</v>
      </c>
      <c r="F71" s="2">
        <v>1.6E-2</v>
      </c>
    </row>
    <row r="72" spans="1:6" x14ac:dyDescent="0.25">
      <c r="A72" s="3">
        <v>45540</v>
      </c>
      <c r="B72">
        <v>1</v>
      </c>
      <c r="C72" t="s">
        <v>10</v>
      </c>
      <c r="D72">
        <v>827</v>
      </c>
      <c r="E72">
        <v>4.0999999999999996</v>
      </c>
      <c r="F72" s="2">
        <v>0.45800000000000002</v>
      </c>
    </row>
    <row r="73" spans="1:6" x14ac:dyDescent="0.25">
      <c r="A73" s="3">
        <v>45540</v>
      </c>
      <c r="B73">
        <v>2</v>
      </c>
      <c r="C73" t="s">
        <v>18</v>
      </c>
      <c r="D73">
        <v>347</v>
      </c>
      <c r="E73">
        <v>1.7</v>
      </c>
      <c r="F73" s="2">
        <v>0.192</v>
      </c>
    </row>
    <row r="74" spans="1:6" x14ac:dyDescent="0.25">
      <c r="A74" s="3">
        <v>45540</v>
      </c>
      <c r="B74">
        <v>3</v>
      </c>
      <c r="C74" t="s">
        <v>17</v>
      </c>
      <c r="D74">
        <v>188</v>
      </c>
      <c r="E74">
        <v>0.9</v>
      </c>
      <c r="F74" s="2">
        <v>0.104</v>
      </c>
    </row>
    <row r="75" spans="1:6" x14ac:dyDescent="0.25">
      <c r="A75" s="3">
        <v>45540</v>
      </c>
      <c r="B75">
        <v>4</v>
      </c>
      <c r="C75" t="s">
        <v>7</v>
      </c>
      <c r="D75">
        <v>171</v>
      </c>
      <c r="E75">
        <v>0.8</v>
      </c>
      <c r="F75" s="2">
        <v>9.5000000000000001E-2</v>
      </c>
    </row>
    <row r="76" spans="1:6" x14ac:dyDescent="0.25">
      <c r="A76" s="3">
        <v>45540</v>
      </c>
      <c r="B76">
        <v>5</v>
      </c>
      <c r="C76" t="s">
        <v>19</v>
      </c>
      <c r="D76">
        <v>66</v>
      </c>
      <c r="E76">
        <v>0.3</v>
      </c>
      <c r="F76" s="2">
        <v>3.6999999999999998E-2</v>
      </c>
    </row>
    <row r="77" spans="1:6" x14ac:dyDescent="0.25">
      <c r="A77" s="3">
        <v>45540</v>
      </c>
      <c r="B77">
        <v>6</v>
      </c>
      <c r="C77" t="s">
        <v>22</v>
      </c>
      <c r="D77">
        <v>63</v>
      </c>
      <c r="E77">
        <v>0.3</v>
      </c>
      <c r="F77" s="2">
        <v>3.5000000000000003E-2</v>
      </c>
    </row>
    <row r="78" spans="1:6" x14ac:dyDescent="0.25">
      <c r="A78" s="3">
        <v>45540</v>
      </c>
      <c r="B78">
        <v>7</v>
      </c>
      <c r="C78" t="s">
        <v>26</v>
      </c>
      <c r="D78">
        <v>54</v>
      </c>
      <c r="E78">
        <v>0.3</v>
      </c>
      <c r="F78" s="2">
        <v>0.03</v>
      </c>
    </row>
    <row r="79" spans="1:6" x14ac:dyDescent="0.25">
      <c r="A79" s="3">
        <v>45540</v>
      </c>
      <c r="B79">
        <v>8</v>
      </c>
      <c r="C79" t="s">
        <v>21</v>
      </c>
      <c r="D79">
        <v>35</v>
      </c>
      <c r="E79">
        <v>0.2</v>
      </c>
      <c r="F79" s="2">
        <v>1.9E-2</v>
      </c>
    </row>
    <row r="80" spans="1:6" x14ac:dyDescent="0.25">
      <c r="A80" s="3">
        <v>45540</v>
      </c>
      <c r="B80">
        <v>9</v>
      </c>
      <c r="C80" t="s">
        <v>33</v>
      </c>
      <c r="D80">
        <v>28</v>
      </c>
      <c r="E80">
        <v>0.1</v>
      </c>
      <c r="F80" s="2">
        <v>1.6E-2</v>
      </c>
    </row>
    <row r="81" spans="1:6" x14ac:dyDescent="0.25">
      <c r="A81" s="3">
        <v>45540</v>
      </c>
      <c r="B81">
        <v>10</v>
      </c>
      <c r="C81" t="s">
        <v>23</v>
      </c>
      <c r="D81">
        <v>27</v>
      </c>
      <c r="E81">
        <v>0.1</v>
      </c>
      <c r="F81" s="2">
        <v>1.4999999999999999E-2</v>
      </c>
    </row>
    <row r="82" spans="1:6" x14ac:dyDescent="0.25">
      <c r="A82" t="s">
        <v>35</v>
      </c>
      <c r="B82">
        <v>1</v>
      </c>
      <c r="C82" t="s">
        <v>18</v>
      </c>
      <c r="D82" s="1">
        <v>108023</v>
      </c>
      <c r="E82">
        <v>252.4</v>
      </c>
      <c r="F82" s="2">
        <v>0.27900000000000003</v>
      </c>
    </row>
    <row r="83" spans="1:6" x14ac:dyDescent="0.25">
      <c r="A83" t="s">
        <v>35</v>
      </c>
      <c r="B83">
        <v>2</v>
      </c>
      <c r="C83" t="s">
        <v>19</v>
      </c>
      <c r="D83" s="1">
        <v>89342</v>
      </c>
      <c r="E83">
        <v>208.7</v>
      </c>
      <c r="F83" s="2">
        <v>0.23100000000000001</v>
      </c>
    </row>
    <row r="84" spans="1:6" x14ac:dyDescent="0.25">
      <c r="A84" t="s">
        <v>35</v>
      </c>
      <c r="B84">
        <v>3</v>
      </c>
      <c r="C84" t="s">
        <v>22</v>
      </c>
      <c r="D84" s="1">
        <v>73725</v>
      </c>
      <c r="E84">
        <v>172.2</v>
      </c>
      <c r="F84" s="2">
        <v>0.191</v>
      </c>
    </row>
    <row r="85" spans="1:6" x14ac:dyDescent="0.25">
      <c r="A85" t="s">
        <v>35</v>
      </c>
      <c r="B85">
        <v>4</v>
      </c>
      <c r="C85" t="s">
        <v>10</v>
      </c>
      <c r="D85" s="1">
        <v>33471</v>
      </c>
      <c r="E85">
        <v>78.2</v>
      </c>
      <c r="F85" s="2">
        <v>8.6999999999999994E-2</v>
      </c>
    </row>
    <row r="86" spans="1:6" x14ac:dyDescent="0.25">
      <c r="A86" t="s">
        <v>35</v>
      </c>
      <c r="B86">
        <v>5</v>
      </c>
      <c r="C86" t="s">
        <v>27</v>
      </c>
      <c r="D86" s="1">
        <v>18603</v>
      </c>
      <c r="E86">
        <v>43.5</v>
      </c>
      <c r="F86" s="2">
        <v>4.8000000000000001E-2</v>
      </c>
    </row>
    <row r="87" spans="1:6" x14ac:dyDescent="0.25">
      <c r="A87" t="s">
        <v>35</v>
      </c>
      <c r="B87">
        <v>6</v>
      </c>
      <c r="C87" t="s">
        <v>31</v>
      </c>
      <c r="D87" s="1">
        <v>17664</v>
      </c>
      <c r="E87">
        <v>41.3</v>
      </c>
      <c r="F87" s="2">
        <v>4.5999999999999999E-2</v>
      </c>
    </row>
    <row r="88" spans="1:6" x14ac:dyDescent="0.25">
      <c r="A88" t="s">
        <v>35</v>
      </c>
      <c r="B88">
        <v>7</v>
      </c>
      <c r="C88" t="s">
        <v>26</v>
      </c>
      <c r="D88" s="1">
        <v>17620</v>
      </c>
      <c r="E88">
        <v>41.2</v>
      </c>
      <c r="F88" s="2">
        <v>4.5999999999999999E-2</v>
      </c>
    </row>
    <row r="89" spans="1:6" x14ac:dyDescent="0.25">
      <c r="A89" t="s">
        <v>35</v>
      </c>
      <c r="B89">
        <v>8</v>
      </c>
      <c r="C89" t="s">
        <v>21</v>
      </c>
      <c r="D89" s="1">
        <v>14634</v>
      </c>
      <c r="E89">
        <v>34.200000000000003</v>
      </c>
      <c r="F89" s="2">
        <v>3.7999999999999999E-2</v>
      </c>
    </row>
    <row r="90" spans="1:6" x14ac:dyDescent="0.25">
      <c r="A90" t="s">
        <v>35</v>
      </c>
      <c r="B90">
        <v>9</v>
      </c>
      <c r="C90" t="s">
        <v>25</v>
      </c>
      <c r="D90" s="1">
        <v>7267</v>
      </c>
      <c r="E90">
        <v>17</v>
      </c>
      <c r="F90" s="2">
        <v>1.9E-2</v>
      </c>
    </row>
    <row r="91" spans="1:6" x14ac:dyDescent="0.25">
      <c r="A91" t="s">
        <v>35</v>
      </c>
      <c r="B91">
        <v>10</v>
      </c>
      <c r="C91" t="s">
        <v>33</v>
      </c>
      <c r="D91" s="1">
        <v>6477</v>
      </c>
      <c r="E91">
        <v>15.1</v>
      </c>
      <c r="F91" s="2">
        <v>1.7000000000000001E-2</v>
      </c>
    </row>
    <row r="92" spans="1:6" x14ac:dyDescent="0.25">
      <c r="A92" t="s">
        <v>36</v>
      </c>
      <c r="B92">
        <v>1</v>
      </c>
      <c r="C92" t="s">
        <v>19</v>
      </c>
      <c r="D92" s="1">
        <v>553214</v>
      </c>
      <c r="E92">
        <v>990.6</v>
      </c>
      <c r="F92" s="2">
        <v>0.29399999999999998</v>
      </c>
    </row>
    <row r="93" spans="1:6" x14ac:dyDescent="0.25">
      <c r="A93" t="s">
        <v>36</v>
      </c>
      <c r="B93">
        <v>2</v>
      </c>
      <c r="C93" t="s">
        <v>18</v>
      </c>
      <c r="D93" s="1">
        <v>446354</v>
      </c>
      <c r="E93">
        <v>799.2</v>
      </c>
      <c r="F93" s="2">
        <v>0.23699999999999999</v>
      </c>
    </row>
    <row r="94" spans="1:6" x14ac:dyDescent="0.25">
      <c r="A94" t="s">
        <v>36</v>
      </c>
      <c r="B94">
        <v>3</v>
      </c>
      <c r="C94" t="s">
        <v>22</v>
      </c>
      <c r="D94" s="1">
        <v>282457</v>
      </c>
      <c r="E94">
        <v>505.8</v>
      </c>
      <c r="F94" s="2">
        <v>0.15</v>
      </c>
    </row>
    <row r="95" spans="1:6" x14ac:dyDescent="0.25">
      <c r="A95" t="s">
        <v>36</v>
      </c>
      <c r="B95">
        <v>4</v>
      </c>
      <c r="C95" t="s">
        <v>21</v>
      </c>
      <c r="D95" s="1">
        <v>139257</v>
      </c>
      <c r="E95">
        <v>249.4</v>
      </c>
      <c r="F95" s="2">
        <v>7.3999999999999996E-2</v>
      </c>
    </row>
    <row r="96" spans="1:6" x14ac:dyDescent="0.25">
      <c r="A96" t="s">
        <v>36</v>
      </c>
      <c r="B96">
        <v>5</v>
      </c>
      <c r="C96" t="s">
        <v>26</v>
      </c>
      <c r="D96" s="1">
        <v>120152</v>
      </c>
      <c r="E96">
        <v>215.1</v>
      </c>
      <c r="F96" s="2">
        <v>6.4000000000000001E-2</v>
      </c>
    </row>
    <row r="97" spans="1:6" x14ac:dyDescent="0.25">
      <c r="A97" t="s">
        <v>36</v>
      </c>
      <c r="B97">
        <v>6</v>
      </c>
      <c r="C97" t="s">
        <v>37</v>
      </c>
      <c r="D97" s="1">
        <v>117922</v>
      </c>
      <c r="E97">
        <v>211.1</v>
      </c>
      <c r="F97" s="2">
        <v>6.3E-2</v>
      </c>
    </row>
    <row r="98" spans="1:6" x14ac:dyDescent="0.25">
      <c r="A98" t="s">
        <v>36</v>
      </c>
      <c r="B98">
        <v>7</v>
      </c>
      <c r="C98" t="s">
        <v>27</v>
      </c>
      <c r="D98" s="1">
        <v>72451</v>
      </c>
      <c r="E98">
        <v>129.69999999999999</v>
      </c>
      <c r="F98" s="2">
        <v>3.7999999999999999E-2</v>
      </c>
    </row>
    <row r="99" spans="1:6" x14ac:dyDescent="0.25">
      <c r="A99" t="s">
        <v>36</v>
      </c>
      <c r="B99">
        <v>8</v>
      </c>
      <c r="C99" t="s">
        <v>10</v>
      </c>
      <c r="D99" s="1">
        <v>69003</v>
      </c>
      <c r="E99">
        <v>123.6</v>
      </c>
      <c r="F99" s="2">
        <v>3.6999999999999998E-2</v>
      </c>
    </row>
    <row r="100" spans="1:6" x14ac:dyDescent="0.25">
      <c r="A100" t="s">
        <v>36</v>
      </c>
      <c r="B100">
        <v>9</v>
      </c>
      <c r="C100" t="s">
        <v>38</v>
      </c>
      <c r="D100" s="1">
        <v>44013</v>
      </c>
      <c r="E100">
        <v>78.8</v>
      </c>
      <c r="F100" s="2">
        <v>2.3E-2</v>
      </c>
    </row>
    <row r="101" spans="1:6" x14ac:dyDescent="0.25">
      <c r="A101" t="s">
        <v>36</v>
      </c>
      <c r="B101">
        <v>10</v>
      </c>
      <c r="C101" t="s">
        <v>39</v>
      </c>
      <c r="D101" s="1">
        <v>37568</v>
      </c>
      <c r="E101">
        <v>67.3</v>
      </c>
      <c r="F101" s="2">
        <v>0.02</v>
      </c>
    </row>
    <row r="102" spans="1:6" x14ac:dyDescent="0.25">
      <c r="A102" t="s">
        <v>40</v>
      </c>
      <c r="B102">
        <v>1</v>
      </c>
      <c r="C102" t="s">
        <v>19</v>
      </c>
      <c r="D102" s="1">
        <v>695547</v>
      </c>
      <c r="E102">
        <v>209.6</v>
      </c>
      <c r="F102" s="2">
        <v>0.26900000000000002</v>
      </c>
    </row>
    <row r="103" spans="1:6" x14ac:dyDescent="0.25">
      <c r="A103" t="s">
        <v>40</v>
      </c>
      <c r="B103">
        <v>2</v>
      </c>
      <c r="C103" t="s">
        <v>18</v>
      </c>
      <c r="D103" s="1">
        <v>605213</v>
      </c>
      <c r="E103">
        <v>182.4</v>
      </c>
      <c r="F103" s="2">
        <v>0.23400000000000001</v>
      </c>
    </row>
    <row r="104" spans="1:6" x14ac:dyDescent="0.25">
      <c r="A104" t="s">
        <v>40</v>
      </c>
      <c r="B104">
        <v>3</v>
      </c>
      <c r="C104" t="s">
        <v>22</v>
      </c>
      <c r="D104" s="1">
        <v>416893</v>
      </c>
      <c r="E104">
        <v>125.6</v>
      </c>
      <c r="F104" s="2">
        <v>0.161</v>
      </c>
    </row>
    <row r="105" spans="1:6" x14ac:dyDescent="0.25">
      <c r="A105" t="s">
        <v>40</v>
      </c>
      <c r="B105">
        <v>4</v>
      </c>
      <c r="C105" t="s">
        <v>10</v>
      </c>
      <c r="D105" s="1">
        <v>224935</v>
      </c>
      <c r="E105">
        <v>67.8</v>
      </c>
      <c r="F105" s="2">
        <v>8.6999999999999994E-2</v>
      </c>
    </row>
    <row r="106" spans="1:6" x14ac:dyDescent="0.25">
      <c r="A106" t="s">
        <v>40</v>
      </c>
      <c r="B106">
        <v>5</v>
      </c>
      <c r="C106" t="s">
        <v>21</v>
      </c>
      <c r="D106" s="1">
        <v>162890</v>
      </c>
      <c r="E106">
        <v>49.1</v>
      </c>
      <c r="F106" s="2">
        <v>6.3E-2</v>
      </c>
    </row>
    <row r="107" spans="1:6" x14ac:dyDescent="0.25">
      <c r="A107" t="s">
        <v>40</v>
      </c>
      <c r="B107">
        <v>6</v>
      </c>
      <c r="C107" t="s">
        <v>26</v>
      </c>
      <c r="D107" s="1">
        <v>142342</v>
      </c>
      <c r="E107">
        <v>42.9</v>
      </c>
      <c r="F107" s="2">
        <v>5.5E-2</v>
      </c>
    </row>
    <row r="108" spans="1:6" x14ac:dyDescent="0.25">
      <c r="A108" t="s">
        <v>40</v>
      </c>
      <c r="B108">
        <v>7</v>
      </c>
      <c r="C108" t="s">
        <v>37</v>
      </c>
      <c r="D108" s="1">
        <v>119399</v>
      </c>
      <c r="E108">
        <v>36</v>
      </c>
      <c r="F108" s="2">
        <v>4.5999999999999999E-2</v>
      </c>
    </row>
    <row r="109" spans="1:6" x14ac:dyDescent="0.25">
      <c r="A109" t="s">
        <v>40</v>
      </c>
      <c r="B109">
        <v>8</v>
      </c>
      <c r="C109" t="s">
        <v>27</v>
      </c>
      <c r="D109" s="1">
        <v>103294</v>
      </c>
      <c r="E109">
        <v>31.1</v>
      </c>
      <c r="F109" s="2">
        <v>0.04</v>
      </c>
    </row>
    <row r="110" spans="1:6" x14ac:dyDescent="0.25">
      <c r="A110" t="s">
        <v>40</v>
      </c>
      <c r="B110">
        <v>9</v>
      </c>
      <c r="C110" t="s">
        <v>31</v>
      </c>
      <c r="D110" s="1">
        <v>56585</v>
      </c>
      <c r="E110">
        <v>17</v>
      </c>
      <c r="F110" s="2">
        <v>2.1999999999999999E-2</v>
      </c>
    </row>
    <row r="111" spans="1:6" x14ac:dyDescent="0.25">
      <c r="A111" t="s">
        <v>40</v>
      </c>
      <c r="B111">
        <v>10</v>
      </c>
      <c r="C111" t="s">
        <v>38</v>
      </c>
      <c r="D111" s="1">
        <v>54358</v>
      </c>
      <c r="E111">
        <v>16.399999999999999</v>
      </c>
      <c r="F111" s="2">
        <v>2.1000000000000001E-2</v>
      </c>
    </row>
    <row r="112" spans="1:6" x14ac:dyDescent="0.25">
      <c r="A112" t="s">
        <v>41</v>
      </c>
    </row>
    <row r="113" spans="1:1" x14ac:dyDescent="0.25">
      <c r="A113" t="s">
        <v>42</v>
      </c>
    </row>
    <row r="114" spans="1:1" x14ac:dyDescent="0.25">
      <c r="A114" t="s">
        <v>43</v>
      </c>
    </row>
    <row r="115" spans="1:1" x14ac:dyDescent="0.25">
      <c r="A115" t="s">
        <v>44</v>
      </c>
    </row>
    <row r="116" spans="1:1" x14ac:dyDescent="0.25">
      <c r="A116" t="s">
        <v>45</v>
      </c>
    </row>
    <row r="117" spans="1:1" x14ac:dyDescent="0.25">
      <c r="A117" t="s">
        <v>46</v>
      </c>
    </row>
    <row r="118" spans="1:1" x14ac:dyDescent="0.25">
      <c r="A118" t="s">
        <v>47</v>
      </c>
    </row>
    <row r="119" spans="1:1" x14ac:dyDescent="0.25">
      <c r="A119" t="s">
        <v>48</v>
      </c>
    </row>
    <row r="120" spans="1:1" x14ac:dyDescent="0.25">
      <c r="A120" t="s">
        <v>49</v>
      </c>
    </row>
    <row r="121" spans="1:1" x14ac:dyDescent="0.25">
      <c r="A121" t="s">
        <v>50</v>
      </c>
    </row>
    <row r="122" spans="1:1" x14ac:dyDescent="0.25">
      <c r="A122"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Analyze</vt:lpstr>
      <vt:lpstr>deaths_Table</vt:lpstr>
      <vt:lpstr>lcd-table_for_clean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dc:creator>
  <cp:lastModifiedBy>Windows User</cp:lastModifiedBy>
  <cp:lastPrinted>2024-03-21T12:56:45Z</cp:lastPrinted>
  <dcterms:created xsi:type="dcterms:W3CDTF">2024-03-16T12:42:04Z</dcterms:created>
  <dcterms:modified xsi:type="dcterms:W3CDTF">2024-03-21T12:58:22Z</dcterms:modified>
</cp:coreProperties>
</file>